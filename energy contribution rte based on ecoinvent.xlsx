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psl-my.sharepoint.com/personal/juliana_steinbach_minesparis_psl_eu/Documents/PHD/HySPI git/HySPI/"/>
    </mc:Choice>
  </mc:AlternateContent>
  <xr:revisionPtr revIDLastSave="153" documentId="13_ncr:1_{581C6970-28D3-460E-84BB-F5B3280CAF05}" xr6:coauthVersionLast="47" xr6:coauthVersionMax="47" xr10:uidLastSave="{2EC05B3F-3759-4BB5-B687-EC8D0E6D22CC}"/>
  <bookViews>
    <workbookView xWindow="-110" yWindow="-110" windowWidth="19420" windowHeight="11500" xr2:uid="{438C3E74-ED11-4139-9587-AF24C8FBC2E7}"/>
  </bookViews>
  <sheets>
    <sheet name="Sheet2" sheetId="2" r:id="rId1"/>
    <sheet name="Sheet1" sheetId="1" r:id="rId2"/>
    <sheet name="Nuclear" sheetId="6" r:id="rId3"/>
    <sheet name="Solar" sheetId="4" r:id="rId4"/>
    <sheet name="Biogas" sheetId="7" r:id="rId5"/>
    <sheet name="hydro" sheetId="3" r:id="rId6"/>
    <sheet name="Wind" sheetId="5" r:id="rId7"/>
    <sheet name="imports" sheetId="8" r:id="rId8"/>
    <sheet name="imports2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0" i="2" l="1"/>
  <c r="B193" i="2" l="1"/>
  <c r="B136" i="2"/>
  <c r="B80" i="2"/>
  <c r="B24" i="2"/>
  <c r="B306" i="2"/>
  <c r="B307" i="2"/>
  <c r="B785" i="2"/>
  <c r="B641" i="2"/>
  <c r="B495" i="2"/>
  <c r="B1217" i="2"/>
  <c r="B1073" i="2"/>
  <c r="B929" i="2"/>
  <c r="B1243" i="2"/>
  <c r="B1242" i="2"/>
  <c r="B1099" i="2"/>
  <c r="B1098" i="2"/>
  <c r="B955" i="2"/>
  <c r="B954" i="2"/>
  <c r="B811" i="2"/>
  <c r="B810" i="2"/>
  <c r="B667" i="2"/>
  <c r="B666" i="2"/>
  <c r="B522" i="2"/>
  <c r="B521" i="2"/>
  <c r="B251" i="2"/>
  <c r="B194" i="2"/>
  <c r="B137" i="2"/>
  <c r="B81" i="2"/>
  <c r="B25" i="2"/>
  <c r="A1291" i="2"/>
  <c r="A1290" i="2"/>
  <c r="A1266" i="2"/>
  <c r="A1274" i="2" s="1"/>
  <c r="A1265" i="2"/>
  <c r="A1234" i="2"/>
  <c r="A1249" i="2" s="1"/>
  <c r="A1233" i="2"/>
  <c r="A1208" i="2"/>
  <c r="A1217" i="2" s="1"/>
  <c r="A1207" i="2"/>
  <c r="A1177" i="2"/>
  <c r="A1192" i="2" s="1"/>
  <c r="A1176" i="2"/>
  <c r="A1147" i="2"/>
  <c r="A1146" i="2"/>
  <c r="A1122" i="2"/>
  <c r="A1121" i="2"/>
  <c r="A1130" i="2" s="1"/>
  <c r="A1090" i="2"/>
  <c r="A1105" i="2" s="1"/>
  <c r="A1089" i="2"/>
  <c r="A1064" i="2"/>
  <c r="A1073" i="2" s="1"/>
  <c r="A1063" i="2"/>
  <c r="A1033" i="2"/>
  <c r="A1048" i="2" s="1"/>
  <c r="A1032" i="2"/>
  <c r="A1003" i="2"/>
  <c r="A1002" i="2"/>
  <c r="A986" i="2"/>
  <c r="A978" i="2"/>
  <c r="A977" i="2"/>
  <c r="A946" i="2"/>
  <c r="A961" i="2" s="1"/>
  <c r="A945" i="2"/>
  <c r="A920" i="2"/>
  <c r="A929" i="2" s="1"/>
  <c r="A919" i="2"/>
  <c r="A889" i="2"/>
  <c r="A904" i="2" s="1"/>
  <c r="A888" i="2"/>
  <c r="A859" i="2"/>
  <c r="A858" i="2"/>
  <c r="A834" i="2"/>
  <c r="A842" i="2" s="1"/>
  <c r="A833" i="2"/>
  <c r="A802" i="2"/>
  <c r="A801" i="2"/>
  <c r="A817" i="2" s="1"/>
  <c r="A776" i="2"/>
  <c r="A785" i="2" s="1"/>
  <c r="A775" i="2"/>
  <c r="A745" i="2"/>
  <c r="A760" i="2" s="1"/>
  <c r="A744" i="2"/>
  <c r="A726" i="2"/>
  <c r="A715" i="2"/>
  <c r="A714" i="2"/>
  <c r="A690" i="2"/>
  <c r="A698" i="2" s="1"/>
  <c r="A689" i="2"/>
  <c r="A658" i="2"/>
  <c r="A673" i="2" s="1"/>
  <c r="A657" i="2"/>
  <c r="A632" i="2"/>
  <c r="A641" i="2" s="1"/>
  <c r="A631" i="2"/>
  <c r="A601" i="2"/>
  <c r="A616" i="2" s="1"/>
  <c r="A600" i="2"/>
  <c r="A571" i="2"/>
  <c r="A570" i="2"/>
  <c r="A545" i="2"/>
  <c r="A553" i="2" s="1"/>
  <c r="A544" i="2"/>
  <c r="A513" i="2"/>
  <c r="A528" i="2" s="1"/>
  <c r="A512" i="2"/>
  <c r="A495" i="2"/>
  <c r="A486" i="2"/>
  <c r="A485" i="2"/>
  <c r="A470" i="2"/>
  <c r="A455" i="2"/>
  <c r="A454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H1289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H1264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1" i="2"/>
  <c r="B1240" i="2"/>
  <c r="B1239" i="2"/>
  <c r="B1238" i="2"/>
  <c r="B1237" i="2"/>
  <c r="B1236" i="2"/>
  <c r="B1235" i="2"/>
  <c r="H1232" i="2"/>
  <c r="B1223" i="2"/>
  <c r="B1222" i="2"/>
  <c r="B1221" i="2"/>
  <c r="B1220" i="2"/>
  <c r="B1219" i="2"/>
  <c r="B1218" i="2"/>
  <c r="B1216" i="2"/>
  <c r="B1215" i="2"/>
  <c r="B1214" i="2"/>
  <c r="B1213" i="2"/>
  <c r="B1212" i="2"/>
  <c r="B1211" i="2"/>
  <c r="B1210" i="2"/>
  <c r="B1209" i="2"/>
  <c r="H1206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H1175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H1145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H1120" i="2"/>
  <c r="B1111" i="2"/>
  <c r="B1110" i="2"/>
  <c r="B1109" i="2"/>
  <c r="B1108" i="2"/>
  <c r="B1107" i="2"/>
  <c r="B1106" i="2"/>
  <c r="B1105" i="2"/>
  <c r="B1104" i="2"/>
  <c r="B1103" i="2"/>
  <c r="B1102" i="2"/>
  <c r="B1101" i="2"/>
  <c r="B1100" i="2"/>
  <c r="B1097" i="2"/>
  <c r="B1096" i="2"/>
  <c r="B1095" i="2"/>
  <c r="B1094" i="2"/>
  <c r="B1093" i="2"/>
  <c r="B1092" i="2"/>
  <c r="B1091" i="2"/>
  <c r="H1088" i="2"/>
  <c r="B1079" i="2"/>
  <c r="B1078" i="2"/>
  <c r="B1077" i="2"/>
  <c r="B1076" i="2"/>
  <c r="B1075" i="2"/>
  <c r="B1074" i="2"/>
  <c r="B1072" i="2"/>
  <c r="B1071" i="2"/>
  <c r="B1070" i="2"/>
  <c r="B1069" i="2"/>
  <c r="B1068" i="2"/>
  <c r="B1067" i="2"/>
  <c r="B1066" i="2"/>
  <c r="B1065" i="2"/>
  <c r="H1062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B1039" i="2"/>
  <c r="B1038" i="2"/>
  <c r="B1037" i="2"/>
  <c r="B1036" i="2"/>
  <c r="B1035" i="2"/>
  <c r="B1034" i="2"/>
  <c r="H1031" i="2"/>
  <c r="B1021" i="2"/>
  <c r="B1020" i="2"/>
  <c r="B1019" i="2"/>
  <c r="B1018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H1001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H976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3" i="2"/>
  <c r="B952" i="2"/>
  <c r="B951" i="2"/>
  <c r="B950" i="2"/>
  <c r="B949" i="2"/>
  <c r="B948" i="2"/>
  <c r="B947" i="2"/>
  <c r="H944" i="2"/>
  <c r="B935" i="2"/>
  <c r="B934" i="2"/>
  <c r="B933" i="2"/>
  <c r="B932" i="2"/>
  <c r="B931" i="2"/>
  <c r="B930" i="2"/>
  <c r="B928" i="2"/>
  <c r="B927" i="2"/>
  <c r="B926" i="2"/>
  <c r="B925" i="2"/>
  <c r="B924" i="2"/>
  <c r="B923" i="2"/>
  <c r="B922" i="2"/>
  <c r="B921" i="2"/>
  <c r="H918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H887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H857" i="2"/>
  <c r="B848" i="2"/>
  <c r="B847" i="2"/>
  <c r="B846" i="2"/>
  <c r="B845" i="2"/>
  <c r="B844" i="2"/>
  <c r="B843" i="2"/>
  <c r="B842" i="2"/>
  <c r="B841" i="2"/>
  <c r="B840" i="2"/>
  <c r="B839" i="2"/>
  <c r="B838" i="2"/>
  <c r="B837" i="2"/>
  <c r="B836" i="2"/>
  <c r="B835" i="2"/>
  <c r="H832" i="2"/>
  <c r="B823" i="2"/>
  <c r="B822" i="2"/>
  <c r="B821" i="2"/>
  <c r="B820" i="2"/>
  <c r="B819" i="2"/>
  <c r="B818" i="2"/>
  <c r="B817" i="2"/>
  <c r="B816" i="2"/>
  <c r="B815" i="2"/>
  <c r="B814" i="2"/>
  <c r="B813" i="2"/>
  <c r="B812" i="2"/>
  <c r="B809" i="2"/>
  <c r="B808" i="2"/>
  <c r="B807" i="2"/>
  <c r="B806" i="2"/>
  <c r="B805" i="2"/>
  <c r="B804" i="2"/>
  <c r="B803" i="2"/>
  <c r="H800" i="2"/>
  <c r="B791" i="2"/>
  <c r="B790" i="2"/>
  <c r="B789" i="2"/>
  <c r="B788" i="2"/>
  <c r="B787" i="2"/>
  <c r="B786" i="2"/>
  <c r="B784" i="2"/>
  <c r="B783" i="2"/>
  <c r="B782" i="2"/>
  <c r="B781" i="2"/>
  <c r="B780" i="2"/>
  <c r="B779" i="2"/>
  <c r="B778" i="2"/>
  <c r="B777" i="2"/>
  <c r="H774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52" i="2"/>
  <c r="B751" i="2"/>
  <c r="B750" i="2"/>
  <c r="B749" i="2"/>
  <c r="B748" i="2"/>
  <c r="B747" i="2"/>
  <c r="B746" i="2"/>
  <c r="H743" i="2"/>
  <c r="B733" i="2"/>
  <c r="B732" i="2"/>
  <c r="B731" i="2"/>
  <c r="B730" i="2"/>
  <c r="B729" i="2"/>
  <c r="B728" i="2"/>
  <c r="B727" i="2"/>
  <c r="B726" i="2"/>
  <c r="B725" i="2"/>
  <c r="B724" i="2"/>
  <c r="B723" i="2"/>
  <c r="B722" i="2"/>
  <c r="B721" i="2"/>
  <c r="B720" i="2"/>
  <c r="B719" i="2"/>
  <c r="B718" i="2"/>
  <c r="B717" i="2"/>
  <c r="B716" i="2"/>
  <c r="B715" i="2"/>
  <c r="H713" i="2"/>
  <c r="B704" i="2"/>
  <c r="B703" i="2"/>
  <c r="B702" i="2"/>
  <c r="B701" i="2"/>
  <c r="B700" i="2"/>
  <c r="B699" i="2"/>
  <c r="B698" i="2"/>
  <c r="B697" i="2"/>
  <c r="B696" i="2"/>
  <c r="B695" i="2"/>
  <c r="B694" i="2"/>
  <c r="B693" i="2"/>
  <c r="B692" i="2"/>
  <c r="B691" i="2"/>
  <c r="H688" i="2"/>
  <c r="B679" i="2"/>
  <c r="B678" i="2"/>
  <c r="B677" i="2"/>
  <c r="B676" i="2"/>
  <c r="B675" i="2"/>
  <c r="B674" i="2"/>
  <c r="B673" i="2"/>
  <c r="B672" i="2"/>
  <c r="B671" i="2"/>
  <c r="B670" i="2"/>
  <c r="B669" i="2"/>
  <c r="B668" i="2"/>
  <c r="B665" i="2"/>
  <c r="B664" i="2"/>
  <c r="B663" i="2"/>
  <c r="B662" i="2"/>
  <c r="B661" i="2"/>
  <c r="B660" i="2"/>
  <c r="B659" i="2"/>
  <c r="H656" i="2"/>
  <c r="B647" i="2"/>
  <c r="B646" i="2"/>
  <c r="B645" i="2"/>
  <c r="B644" i="2"/>
  <c r="B643" i="2"/>
  <c r="B642" i="2"/>
  <c r="B640" i="2"/>
  <c r="B639" i="2"/>
  <c r="B638" i="2"/>
  <c r="B637" i="2"/>
  <c r="B636" i="2"/>
  <c r="B635" i="2"/>
  <c r="B634" i="2"/>
  <c r="B633" i="2"/>
  <c r="H630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B602" i="2"/>
  <c r="H599" i="2"/>
  <c r="B589" i="2"/>
  <c r="B588" i="2"/>
  <c r="B587" i="2"/>
  <c r="B586" i="2"/>
  <c r="B585" i="2"/>
  <c r="B584" i="2"/>
  <c r="B583" i="2"/>
  <c r="B582" i="2"/>
  <c r="A582" i="2"/>
  <c r="B581" i="2"/>
  <c r="B580" i="2"/>
  <c r="B579" i="2"/>
  <c r="B578" i="2"/>
  <c r="B577" i="2"/>
  <c r="B576" i="2"/>
  <c r="B575" i="2"/>
  <c r="B574" i="2"/>
  <c r="B573" i="2"/>
  <c r="B572" i="2"/>
  <c r="B571" i="2"/>
  <c r="H569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H543" i="2"/>
  <c r="B534" i="2"/>
  <c r="B533" i="2"/>
  <c r="B532" i="2"/>
  <c r="B531" i="2"/>
  <c r="B530" i="2"/>
  <c r="B529" i="2"/>
  <c r="B528" i="2"/>
  <c r="B527" i="2"/>
  <c r="B526" i="2"/>
  <c r="B525" i="2"/>
  <c r="B524" i="2"/>
  <c r="B523" i="2"/>
  <c r="B520" i="2"/>
  <c r="B519" i="2"/>
  <c r="B518" i="2"/>
  <c r="B517" i="2"/>
  <c r="B516" i="2"/>
  <c r="B515" i="2"/>
  <c r="B514" i="2"/>
  <c r="H511" i="2"/>
  <c r="B501" i="2"/>
  <c r="B500" i="2"/>
  <c r="B499" i="2"/>
  <c r="B498" i="2"/>
  <c r="B497" i="2"/>
  <c r="B496" i="2"/>
  <c r="B494" i="2"/>
  <c r="B493" i="2"/>
  <c r="B492" i="2"/>
  <c r="B491" i="2"/>
  <c r="B490" i="2"/>
  <c r="B489" i="2"/>
  <c r="B488" i="2"/>
  <c r="B487" i="2"/>
  <c r="H484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7" i="2"/>
  <c r="B456" i="2"/>
  <c r="H453" i="2"/>
  <c r="B442" i="2"/>
  <c r="B438" i="2"/>
  <c r="B439" i="2"/>
  <c r="B440" i="2"/>
  <c r="B441" i="2"/>
  <c r="B437" i="2"/>
  <c r="B421" i="2"/>
  <c r="B422" i="2"/>
  <c r="B423" i="2"/>
  <c r="B424" i="2"/>
  <c r="B425" i="2"/>
  <c r="B420" i="2"/>
  <c r="B404" i="2"/>
  <c r="B405" i="2"/>
  <c r="B406" i="2"/>
  <c r="B407" i="2"/>
  <c r="B408" i="2"/>
  <c r="B403" i="2"/>
  <c r="B387" i="2"/>
  <c r="B388" i="2"/>
  <c r="B389" i="2"/>
  <c r="B390" i="2"/>
  <c r="B391" i="2"/>
  <c r="B386" i="2"/>
  <c r="B371" i="2"/>
  <c r="B372" i="2"/>
  <c r="B373" i="2"/>
  <c r="B374" i="2"/>
  <c r="B375" i="2"/>
  <c r="B370" i="2"/>
  <c r="G369" i="2"/>
  <c r="A369" i="2"/>
  <c r="B354" i="2"/>
  <c r="B355" i="2"/>
  <c r="B356" i="2"/>
  <c r="B357" i="2"/>
  <c r="B358" i="2"/>
  <c r="B353" i="2"/>
  <c r="A294" i="2"/>
  <c r="G294" i="2"/>
  <c r="B295" i="2"/>
  <c r="B296" i="2"/>
  <c r="B297" i="2"/>
  <c r="B298" i="2"/>
  <c r="B299" i="2"/>
  <c r="B300" i="2"/>
  <c r="B301" i="2"/>
  <c r="B302" i="2"/>
  <c r="B303" i="2"/>
  <c r="B304" i="2"/>
  <c r="B305" i="2"/>
  <c r="B308" i="2"/>
  <c r="B309" i="2"/>
  <c r="B310" i="2"/>
  <c r="B311" i="2"/>
  <c r="A337" i="2"/>
  <c r="A322" i="2"/>
  <c r="A281" i="2"/>
  <c r="A266" i="2"/>
  <c r="B252" i="2"/>
  <c r="B249" i="2"/>
  <c r="B248" i="2"/>
  <c r="B247" i="2"/>
  <c r="B246" i="2"/>
  <c r="B245" i="2"/>
  <c r="B244" i="2"/>
  <c r="B243" i="2"/>
  <c r="B242" i="2"/>
  <c r="B241" i="2"/>
  <c r="B240" i="2"/>
  <c r="A238" i="2"/>
  <c r="A224" i="2"/>
  <c r="A209" i="2"/>
  <c r="B195" i="2"/>
  <c r="B192" i="2"/>
  <c r="B184" i="2"/>
  <c r="B183" i="2"/>
  <c r="B127" i="2"/>
  <c r="B71" i="2"/>
  <c r="B191" i="2" l="1"/>
  <c r="B190" i="2"/>
  <c r="B189" i="2"/>
  <c r="B188" i="2"/>
  <c r="B187" i="2"/>
  <c r="B186" i="2"/>
  <c r="B185" i="2"/>
  <c r="A181" i="2"/>
  <c r="A167" i="2"/>
  <c r="A152" i="2"/>
  <c r="B138" i="2"/>
  <c r="B135" i="2"/>
  <c r="B134" i="2"/>
  <c r="B133" i="2"/>
  <c r="B132" i="2"/>
  <c r="B131" i="2"/>
  <c r="B130" i="2"/>
  <c r="B129" i="2"/>
  <c r="B128" i="2"/>
  <c r="A125" i="2"/>
  <c r="A111" i="2"/>
  <c r="A96" i="2"/>
  <c r="A69" i="2"/>
  <c r="B82" i="2"/>
  <c r="B79" i="2"/>
  <c r="B78" i="2"/>
  <c r="B77" i="2"/>
  <c r="B76" i="2"/>
  <c r="B75" i="2"/>
  <c r="B74" i="2"/>
  <c r="B73" i="2"/>
  <c r="B72" i="2"/>
  <c r="B340" i="2"/>
  <c r="B339" i="2"/>
  <c r="B338" i="2"/>
  <c r="G337" i="2"/>
  <c r="B326" i="2"/>
  <c r="B325" i="2"/>
  <c r="B324" i="2"/>
  <c r="B323" i="2"/>
  <c r="G322" i="2"/>
  <c r="B284" i="2"/>
  <c r="B283" i="2"/>
  <c r="B282" i="2"/>
  <c r="G281" i="2"/>
  <c r="B270" i="2"/>
  <c r="B269" i="2"/>
  <c r="B268" i="2"/>
  <c r="B267" i="2"/>
  <c r="G266" i="2"/>
  <c r="B255" i="2"/>
  <c r="B254" i="2"/>
  <c r="B253" i="2"/>
  <c r="B239" i="2"/>
  <c r="G238" i="2"/>
  <c r="B227" i="2"/>
  <c r="B226" i="2"/>
  <c r="B225" i="2"/>
  <c r="G224" i="2"/>
  <c r="B213" i="2"/>
  <c r="B212" i="2"/>
  <c r="B211" i="2"/>
  <c r="B210" i="2"/>
  <c r="G209" i="2"/>
  <c r="B198" i="2"/>
  <c r="B197" i="2"/>
  <c r="B196" i="2"/>
  <c r="B182" i="2"/>
  <c r="G181" i="2"/>
  <c r="B170" i="2"/>
  <c r="B169" i="2"/>
  <c r="B168" i="2"/>
  <c r="G167" i="2"/>
  <c r="B156" i="2"/>
  <c r="B155" i="2"/>
  <c r="B154" i="2"/>
  <c r="B153" i="2"/>
  <c r="G152" i="2"/>
  <c r="B141" i="2"/>
  <c r="B140" i="2"/>
  <c r="B139" i="2"/>
  <c r="B126" i="2"/>
  <c r="G125" i="2"/>
  <c r="B114" i="2"/>
  <c r="B113" i="2"/>
  <c r="B112" i="2"/>
  <c r="G111" i="2"/>
  <c r="B100" i="2"/>
  <c r="B99" i="2"/>
  <c r="B98" i="2"/>
  <c r="B97" i="2"/>
  <c r="G96" i="2"/>
  <c r="B85" i="2"/>
  <c r="B84" i="2"/>
  <c r="B83" i="2"/>
  <c r="B70" i="2"/>
  <c r="G69" i="2"/>
  <c r="B58" i="2"/>
  <c r="B57" i="2"/>
  <c r="B56" i="2"/>
  <c r="G55" i="2"/>
  <c r="A55" i="2"/>
  <c r="B44" i="2"/>
  <c r="B43" i="2"/>
  <c r="B42" i="2"/>
  <c r="B41" i="2"/>
  <c r="G40" i="2"/>
  <c r="A40" i="2"/>
  <c r="B29" i="2"/>
  <c r="B28" i="2"/>
  <c r="B27" i="2"/>
  <c r="B26" i="2"/>
  <c r="B23" i="2"/>
  <c r="B22" i="2"/>
  <c r="B21" i="2"/>
  <c r="B20" i="2"/>
  <c r="B19" i="2"/>
  <c r="B18" i="2"/>
  <c r="B17" i="2"/>
  <c r="B16" i="2"/>
  <c r="B15" i="2"/>
  <c r="G14" i="2"/>
  <c r="A14" i="2"/>
  <c r="AJ35" i="1" l="1"/>
  <c r="AJ36" i="1"/>
  <c r="X35" i="1"/>
  <c r="Y35" i="1"/>
  <c r="Z35" i="1"/>
  <c r="AA35" i="1"/>
  <c r="AB35" i="1"/>
  <c r="AC35" i="1"/>
  <c r="AD35" i="1"/>
  <c r="AE35" i="1"/>
  <c r="AF35" i="1"/>
  <c r="AG35" i="1"/>
  <c r="AI35" i="1"/>
  <c r="AG36" i="1"/>
  <c r="AJ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W11" i="1"/>
  <c r="X11" i="1"/>
  <c r="Y11" i="1"/>
  <c r="Z11" i="1"/>
  <c r="AA11" i="1"/>
  <c r="AB11" i="1"/>
  <c r="AC11" i="1"/>
  <c r="AD11" i="1"/>
  <c r="AE11" i="1"/>
  <c r="AF11" i="1"/>
  <c r="AG11" i="1"/>
  <c r="W12" i="1"/>
  <c r="X12" i="1"/>
  <c r="Y12" i="1"/>
  <c r="Z12" i="1"/>
  <c r="AA12" i="1"/>
  <c r="AB12" i="1"/>
  <c r="AC12" i="1"/>
  <c r="AD12" i="1"/>
  <c r="AE12" i="1"/>
  <c r="AF12" i="1"/>
  <c r="AG12" i="1"/>
  <c r="W13" i="1"/>
  <c r="X13" i="1"/>
  <c r="Y13" i="1"/>
  <c r="Z13" i="1"/>
  <c r="AA13" i="1"/>
  <c r="AB13" i="1"/>
  <c r="AC13" i="1"/>
  <c r="AD13" i="1"/>
  <c r="AE13" i="1"/>
  <c r="AF13" i="1"/>
  <c r="AG13" i="1"/>
  <c r="W14" i="1"/>
  <c r="X14" i="1"/>
  <c r="Y14" i="1"/>
  <c r="Z14" i="1"/>
  <c r="AA14" i="1"/>
  <c r="AB14" i="1"/>
  <c r="AC14" i="1"/>
  <c r="AD14" i="1"/>
  <c r="AE14" i="1"/>
  <c r="AF14" i="1"/>
  <c r="AG14" i="1"/>
  <c r="W15" i="1"/>
  <c r="X15" i="1"/>
  <c r="Y15" i="1"/>
  <c r="Z15" i="1"/>
  <c r="AA15" i="1"/>
  <c r="AB15" i="1"/>
  <c r="AC15" i="1"/>
  <c r="AD15" i="1"/>
  <c r="AE15" i="1"/>
  <c r="AF15" i="1"/>
  <c r="AG15" i="1"/>
  <c r="W16" i="1"/>
  <c r="X16" i="1"/>
  <c r="Y16" i="1"/>
  <c r="Z16" i="1"/>
  <c r="AA16" i="1"/>
  <c r="AB16" i="1"/>
  <c r="AC16" i="1"/>
  <c r="AD16" i="1"/>
  <c r="AE16" i="1"/>
  <c r="AF16" i="1"/>
  <c r="AG16" i="1"/>
  <c r="V16" i="1"/>
  <c r="V15" i="1"/>
  <c r="V14" i="1"/>
  <c r="V13" i="1"/>
  <c r="V12" i="1"/>
  <c r="AA9" i="1"/>
  <c r="AA8" i="1"/>
  <c r="AA7" i="1"/>
  <c r="AA6" i="1"/>
  <c r="AA5" i="1"/>
  <c r="AA4" i="1"/>
  <c r="AD11" i="9"/>
  <c r="AB11" i="9"/>
  <c r="H80" i="9" l="1"/>
  <c r="H51" i="9" s="1"/>
  <c r="H41" i="9"/>
  <c r="H42" i="9"/>
  <c r="H40" i="9"/>
  <c r="Z39" i="9"/>
  <c r="Z38" i="9"/>
  <c r="Z37" i="9"/>
  <c r="AA40" i="9"/>
  <c r="H30" i="9"/>
  <c r="H31" i="9"/>
  <c r="H29" i="9"/>
  <c r="AE28" i="9"/>
  <c r="AE27" i="9"/>
  <c r="AE26" i="9"/>
  <c r="AF29" i="9"/>
  <c r="H19" i="9"/>
  <c r="H20" i="9"/>
  <c r="H18" i="9"/>
  <c r="Z16" i="9"/>
  <c r="Y14" i="9" s="1"/>
  <c r="H8" i="9"/>
  <c r="H9" i="9"/>
  <c r="H7" i="9"/>
  <c r="AE4" i="9"/>
  <c r="AE3" i="9"/>
  <c r="AE2" i="9"/>
  <c r="AF5" i="9"/>
  <c r="G436" i="2"/>
  <c r="A436" i="2"/>
  <c r="G419" i="2"/>
  <c r="A419" i="2"/>
  <c r="G402" i="2"/>
  <c r="A402" i="2"/>
  <c r="G385" i="2"/>
  <c r="A385" i="2"/>
  <c r="G352" i="2"/>
  <c r="A352" i="2"/>
  <c r="H67" i="9" l="1"/>
  <c r="G64" i="9"/>
  <c r="G54" i="9"/>
  <c r="Y13" i="9"/>
  <c r="Y15" i="9"/>
  <c r="G56" i="9"/>
  <c r="G65" i="9"/>
  <c r="H68" i="9"/>
  <c r="G50" i="9"/>
  <c r="G58" i="9"/>
  <c r="F71" i="9"/>
  <c r="H69" i="9"/>
  <c r="G53" i="9"/>
  <c r="G63" i="9"/>
  <c r="R44" i="9"/>
  <c r="Q43" i="9" s="1"/>
  <c r="R40" i="9"/>
  <c r="Q39" i="9" s="1"/>
  <c r="Z11" i="9"/>
  <c r="Y7" i="9" s="1"/>
  <c r="R32" i="9"/>
  <c r="Q30" i="9" s="1"/>
  <c r="R29" i="9"/>
  <c r="Q28" i="9" s="1"/>
  <c r="Z33" i="9"/>
  <c r="Y27" i="9" s="1"/>
  <c r="Q31" i="9" l="1"/>
  <c r="Y9" i="9"/>
  <c r="Y5" i="9"/>
  <c r="Y10" i="9"/>
  <c r="Y6" i="9"/>
  <c r="Q37" i="9"/>
  <c r="Q42" i="9"/>
  <c r="Y8" i="9"/>
  <c r="Y4" i="9"/>
  <c r="Q38" i="9"/>
  <c r="Y3" i="9"/>
  <c r="Q26" i="9"/>
  <c r="Y32" i="9"/>
  <c r="Q27" i="9"/>
  <c r="Y28" i="9"/>
  <c r="Y30" i="9"/>
  <c r="Y26" i="9"/>
  <c r="Y29" i="9"/>
  <c r="Y31" i="9"/>
  <c r="R15" i="9"/>
  <c r="Q14" i="9" s="1"/>
  <c r="R19" i="9"/>
  <c r="Q17" i="9" s="1"/>
  <c r="R6" i="9"/>
  <c r="Q5" i="9" s="1"/>
  <c r="D37" i="9"/>
  <c r="E37" i="9" s="1"/>
  <c r="D26" i="9"/>
  <c r="E26" i="9" s="1"/>
  <c r="N37" i="9"/>
  <c r="M37" i="9"/>
  <c r="L37" i="9"/>
  <c r="K37" i="9"/>
  <c r="J37" i="9"/>
  <c r="I37" i="9"/>
  <c r="H37" i="9"/>
  <c r="G37" i="9"/>
  <c r="E36" i="9"/>
  <c r="N26" i="9"/>
  <c r="M26" i="9"/>
  <c r="L26" i="9"/>
  <c r="K26" i="9"/>
  <c r="J26" i="9"/>
  <c r="I26" i="9"/>
  <c r="H26" i="9"/>
  <c r="G26" i="9"/>
  <c r="E25" i="9"/>
  <c r="D15" i="9"/>
  <c r="E15" i="9" s="1"/>
  <c r="N15" i="9"/>
  <c r="M15" i="9"/>
  <c r="L15" i="9"/>
  <c r="K15" i="9"/>
  <c r="J15" i="9"/>
  <c r="I15" i="9"/>
  <c r="H15" i="9"/>
  <c r="G15" i="9"/>
  <c r="E14" i="9"/>
  <c r="N4" i="9"/>
  <c r="M4" i="9"/>
  <c r="L4" i="9"/>
  <c r="K4" i="9"/>
  <c r="J4" i="9"/>
  <c r="I4" i="9"/>
  <c r="H4" i="9"/>
  <c r="G4" i="9"/>
  <c r="E3" i="9"/>
  <c r="D4" i="9"/>
  <c r="E4" i="9" s="1"/>
  <c r="E11" i="8"/>
  <c r="D16" i="8"/>
  <c r="E13" i="8" s="1"/>
  <c r="O33" i="1"/>
  <c r="O34" i="1" s="1"/>
  <c r="O29" i="1"/>
  <c r="O30" i="1" s="1"/>
  <c r="O26" i="1"/>
  <c r="AS21" i="1"/>
  <c r="F29" i="8"/>
  <c r="E29" i="8"/>
  <c r="F23" i="8"/>
  <c r="F24" i="8"/>
  <c r="F25" i="8"/>
  <c r="F26" i="8"/>
  <c r="F27" i="8"/>
  <c r="E23" i="8"/>
  <c r="E24" i="8"/>
  <c r="E25" i="8"/>
  <c r="E26" i="8"/>
  <c r="E27" i="8"/>
  <c r="F31" i="8"/>
  <c r="E31" i="8"/>
  <c r="F28" i="8"/>
  <c r="E28" i="8"/>
  <c r="F30" i="8"/>
  <c r="E30" i="8"/>
  <c r="AS22" i="1"/>
  <c r="AS23" i="1"/>
  <c r="AS24" i="1"/>
  <c r="AS25" i="1"/>
  <c r="AS26" i="1"/>
  <c r="AO4" i="1"/>
  <c r="AN5" i="1"/>
  <c r="AB36" i="1"/>
  <c r="E10" i="8" l="1"/>
  <c r="E15" i="8"/>
  <c r="E14" i="8"/>
  <c r="E12" i="8"/>
  <c r="Q18" i="9"/>
  <c r="Q13" i="9"/>
  <c r="Q16" i="9"/>
  <c r="Q4" i="9"/>
  <c r="Q3" i="9"/>
  <c r="O26" i="9"/>
  <c r="O37" i="9"/>
  <c r="O15" i="9"/>
  <c r="O4" i="9"/>
  <c r="H17" i="9" s="1"/>
  <c r="O35" i="1"/>
  <c r="O31" i="1"/>
  <c r="AS27" i="1"/>
  <c r="I17" i="9" l="1"/>
  <c r="G39" i="9"/>
  <c r="G17" i="9"/>
  <c r="G19" i="9" s="1"/>
  <c r="I28" i="9"/>
  <c r="K28" i="9"/>
  <c r="L39" i="9"/>
  <c r="L28" i="9"/>
  <c r="G28" i="9"/>
  <c r="H39" i="9"/>
  <c r="N28" i="9"/>
  <c r="N39" i="9"/>
  <c r="N17" i="9"/>
  <c r="H28" i="9"/>
  <c r="J17" i="9"/>
  <c r="L17" i="9"/>
  <c r="J28" i="9"/>
  <c r="J39" i="9"/>
  <c r="M39" i="9"/>
  <c r="M17" i="9"/>
  <c r="K39" i="9"/>
  <c r="K17" i="9"/>
  <c r="M28" i="9"/>
  <c r="I39" i="9"/>
  <c r="N6" i="9"/>
  <c r="J6" i="9"/>
  <c r="K6" i="9"/>
  <c r="L6" i="9"/>
  <c r="H6" i="9"/>
  <c r="M6" i="9"/>
  <c r="I6" i="9"/>
  <c r="I9" i="9" s="1"/>
  <c r="G6" i="9"/>
  <c r="AA36" i="1"/>
  <c r="K41" i="9" l="1"/>
  <c r="K40" i="9"/>
  <c r="I30" i="9"/>
  <c r="I29" i="9"/>
  <c r="I31" i="9"/>
  <c r="O39" i="9"/>
  <c r="I40" i="9"/>
  <c r="I41" i="9"/>
  <c r="I42" i="9"/>
  <c r="AB33" i="9"/>
  <c r="K29" i="9"/>
  <c r="K30" i="9"/>
  <c r="I18" i="9"/>
  <c r="I20" i="9"/>
  <c r="I19" i="9"/>
  <c r="G18" i="9"/>
  <c r="O17" i="9"/>
  <c r="I8" i="9"/>
  <c r="I7" i="9"/>
  <c r="O28" i="9"/>
  <c r="O6" i="9"/>
  <c r="D15" i="3"/>
  <c r="E14" i="3" s="1"/>
  <c r="H23" i="5"/>
  <c r="H25" i="5" s="1"/>
  <c r="I23" i="5"/>
  <c r="I25" i="5" s="1"/>
  <c r="J23" i="5"/>
  <c r="J24" i="5" s="1"/>
  <c r="K23" i="5"/>
  <c r="K25" i="5" s="1"/>
  <c r="L23" i="5"/>
  <c r="L25" i="5" s="1"/>
  <c r="G23" i="5"/>
  <c r="G25" i="5" s="1"/>
  <c r="D16" i="5"/>
  <c r="E14" i="5" s="1"/>
  <c r="AE41" i="4"/>
  <c r="AE43" i="4" s="1"/>
  <c r="Z41" i="4"/>
  <c r="Z43" i="4" s="1"/>
  <c r="U41" i="4"/>
  <c r="U43" i="4" s="1"/>
  <c r="P41" i="4"/>
  <c r="P43" i="4" s="1"/>
  <c r="K41" i="4"/>
  <c r="K43" i="4" s="1"/>
  <c r="F41" i="4"/>
  <c r="F43" i="4" s="1"/>
  <c r="AE39" i="4"/>
  <c r="Z39" i="4"/>
  <c r="U39" i="4"/>
  <c r="P39" i="4"/>
  <c r="K39" i="4"/>
  <c r="F39" i="4"/>
  <c r="AF38" i="4"/>
  <c r="AE33" i="4" s="1"/>
  <c r="AA38" i="4"/>
  <c r="Z33" i="4" s="1"/>
  <c r="V38" i="4"/>
  <c r="U33" i="4" s="1"/>
  <c r="Q38" i="4"/>
  <c r="P33" i="4" s="1"/>
  <c r="L38" i="4"/>
  <c r="K33" i="4" s="1"/>
  <c r="G38" i="4"/>
  <c r="AF37" i="4"/>
  <c r="AE32" i="4" s="1"/>
  <c r="AA37" i="4"/>
  <c r="Z32" i="4" s="1"/>
  <c r="V37" i="4"/>
  <c r="U32" i="4" s="1"/>
  <c r="Q37" i="4"/>
  <c r="P32" i="4" s="1"/>
  <c r="L37" i="4"/>
  <c r="K32" i="4" s="1"/>
  <c r="G37" i="4"/>
  <c r="F32" i="4" s="1"/>
  <c r="D34" i="4"/>
  <c r="N24" i="1"/>
  <c r="N23" i="1"/>
  <c r="N22" i="1"/>
  <c r="N21" i="1"/>
  <c r="N20" i="1"/>
  <c r="N19" i="1"/>
  <c r="N26" i="1" s="1"/>
  <c r="P24" i="1"/>
  <c r="P21" i="1"/>
  <c r="P22" i="1"/>
  <c r="P23" i="1"/>
  <c r="P20" i="1"/>
  <c r="P19" i="1"/>
  <c r="AF18" i="4"/>
  <c r="AE13" i="4" s="1"/>
  <c r="AF17" i="4"/>
  <c r="AE21" i="4"/>
  <c r="AE23" i="4" s="1"/>
  <c r="Z21" i="4"/>
  <c r="Z23" i="4" s="1"/>
  <c r="U21" i="4"/>
  <c r="U23" i="4" s="1"/>
  <c r="AA18" i="4"/>
  <c r="Z13" i="4" s="1"/>
  <c r="AA17" i="4"/>
  <c r="AE19" i="4"/>
  <c r="Z19" i="4"/>
  <c r="V18" i="4"/>
  <c r="U13" i="4" s="1"/>
  <c r="V17" i="4"/>
  <c r="U19" i="4"/>
  <c r="F21" i="4"/>
  <c r="F23" i="4" s="1"/>
  <c r="K21" i="4"/>
  <c r="K23" i="4" s="1"/>
  <c r="P21" i="4"/>
  <c r="P23" i="4" s="1"/>
  <c r="Q18" i="4"/>
  <c r="P13" i="4" s="1"/>
  <c r="Q17" i="4"/>
  <c r="P19" i="4"/>
  <c r="L18" i="4"/>
  <c r="K13" i="4" s="1"/>
  <c r="L17" i="4"/>
  <c r="K19" i="4"/>
  <c r="G26" i="4"/>
  <c r="G25" i="4"/>
  <c r="G18" i="4"/>
  <c r="F33" i="4" s="1"/>
  <c r="G17" i="4"/>
  <c r="F19" i="4"/>
  <c r="D14" i="4"/>
  <c r="K12" i="4" l="1"/>
  <c r="P12" i="4"/>
  <c r="P31" i="4"/>
  <c r="AE11" i="4"/>
  <c r="Z11" i="4"/>
  <c r="F13" i="4"/>
  <c r="U11" i="4"/>
  <c r="K11" i="4"/>
  <c r="F12" i="4"/>
  <c r="U12" i="4"/>
  <c r="G24" i="5"/>
  <c r="I24" i="5"/>
  <c r="F31" i="4"/>
  <c r="Z31" i="4"/>
  <c r="K31" i="4"/>
  <c r="U31" i="4"/>
  <c r="AE31" i="4"/>
  <c r="F11" i="4"/>
  <c r="E13" i="3"/>
  <c r="L24" i="5"/>
  <c r="H24" i="5"/>
  <c r="J25" i="5"/>
  <c r="K24" i="5"/>
  <c r="E13" i="5"/>
  <c r="E15" i="5"/>
  <c r="AE12" i="4"/>
  <c r="Z12" i="4"/>
  <c r="P11" i="4"/>
  <c r="AG8" i="1" l="1"/>
  <c r="AG7" i="1"/>
  <c r="AG6" i="1"/>
  <c r="AG5" i="1"/>
  <c r="AG4" i="1"/>
  <c r="AG9" i="1"/>
  <c r="AM9" i="1"/>
  <c r="L9" i="1"/>
  <c r="AN9" i="1" s="1"/>
  <c r="S4" i="1"/>
  <c r="AR5" i="1"/>
  <c r="AR6" i="1"/>
  <c r="AR7" i="1"/>
  <c r="AR8" i="1"/>
  <c r="AR9" i="1"/>
  <c r="AR4" i="1"/>
  <c r="AQ5" i="1"/>
  <c r="AQ6" i="1"/>
  <c r="AQ7" i="1"/>
  <c r="AQ8" i="1"/>
  <c r="AQ9" i="1"/>
  <c r="AQ4" i="1"/>
  <c r="AP5" i="1"/>
  <c r="AP6" i="1"/>
  <c r="AP7" i="1"/>
  <c r="AP8" i="1"/>
  <c r="AP9" i="1"/>
  <c r="AP4" i="1"/>
  <c r="AO5" i="1"/>
  <c r="AO6" i="1"/>
  <c r="AO7" i="1"/>
  <c r="AO8" i="1"/>
  <c r="AO9" i="1"/>
  <c r="AN6" i="1"/>
  <c r="AN7" i="1"/>
  <c r="AN8" i="1"/>
  <c r="AN4" i="1"/>
  <c r="AM8" i="1"/>
  <c r="AM7" i="1"/>
  <c r="V9" i="1"/>
  <c r="AM5" i="1"/>
  <c r="AM6" i="1"/>
  <c r="AM4" i="1"/>
  <c r="S5" i="1"/>
  <c r="S6" i="1"/>
  <c r="S7" i="1"/>
  <c r="S8" i="1"/>
  <c r="H5" i="1"/>
  <c r="I5" i="1" s="1"/>
  <c r="H6" i="1"/>
  <c r="I6" i="1" s="1"/>
  <c r="H7" i="1"/>
  <c r="I7" i="1" s="1"/>
  <c r="H8" i="1"/>
  <c r="I8" i="1" s="1"/>
  <c r="H9" i="1"/>
  <c r="I9" i="1" s="1"/>
  <c r="H4" i="1"/>
  <c r="I4" i="1" s="1"/>
  <c r="AJ6" i="1" l="1"/>
  <c r="AJ7" i="1"/>
  <c r="AJ9" i="1"/>
  <c r="AJ4" i="1"/>
  <c r="AJ8" i="1"/>
  <c r="AJ5" i="1"/>
  <c r="S9" i="1"/>
  <c r="AT5" i="1"/>
  <c r="AT9" i="1"/>
  <c r="AT6" i="1"/>
  <c r="AT4" i="1"/>
  <c r="AT8" i="1"/>
  <c r="AT7" i="1"/>
  <c r="AK9" i="1" l="1"/>
  <c r="AN40" i="1"/>
  <c r="AO40" i="1" s="1"/>
  <c r="AK5" i="1"/>
  <c r="AN36" i="1"/>
  <c r="AO36" i="1" s="1"/>
  <c r="AM29" i="1" s="1"/>
  <c r="AK7" i="1"/>
  <c r="AN38" i="1"/>
  <c r="AO38" i="1" s="1"/>
  <c r="AM31" i="1" s="1"/>
  <c r="AK4" i="1"/>
  <c r="AN35" i="1"/>
  <c r="AO35" i="1" s="1"/>
  <c r="AM28" i="1" s="1"/>
  <c r="AK8" i="1"/>
  <c r="AN39" i="1"/>
  <c r="AO39" i="1" s="1"/>
  <c r="AM32" i="1" s="1"/>
  <c r="AK6" i="1"/>
  <c r="AN37" i="1"/>
  <c r="AO37" i="1" s="1"/>
  <c r="AM30" i="1" s="1"/>
  <c r="AL8" i="1" l="1"/>
  <c r="AL9" i="1"/>
  <c r="AL7" i="1"/>
  <c r="AL6" i="1"/>
  <c r="AL5" i="1"/>
  <c r="AL4" i="1"/>
  <c r="V11" i="1" l="1"/>
  <c r="AJ16" i="1"/>
  <c r="F8" i="5" s="1"/>
  <c r="L26" i="5" s="1"/>
  <c r="AJ14" i="1"/>
  <c r="AJ12" i="1"/>
  <c r="AJ13" i="1"/>
  <c r="AJ15" i="1"/>
  <c r="AJ11" i="1" l="1"/>
  <c r="F9" i="7"/>
  <c r="V23" i="1"/>
  <c r="F8" i="7"/>
  <c r="D5" i="3"/>
  <c r="I14" i="3" s="1"/>
  <c r="F11" i="7"/>
  <c r="E6" i="8"/>
  <c r="F6" i="5"/>
  <c r="J27" i="5" s="1"/>
  <c r="E7" i="8"/>
  <c r="D8" i="5"/>
  <c r="L14" i="5" s="1"/>
  <c r="V32" i="1"/>
  <c r="G8" i="6" s="1"/>
  <c r="D6" i="3"/>
  <c r="J13" i="3" s="1"/>
  <c r="V21" i="1"/>
  <c r="E8" i="6"/>
  <c r="F5" i="5"/>
  <c r="I27" i="5" s="1"/>
  <c r="E8" i="8"/>
  <c r="V30" i="1"/>
  <c r="G6" i="6" s="1"/>
  <c r="D6" i="5"/>
  <c r="J14" i="5" s="1"/>
  <c r="E6" i="6"/>
  <c r="D8" i="3"/>
  <c r="L13" i="3" s="1"/>
  <c r="D5" i="4"/>
  <c r="D4" i="4"/>
  <c r="M11" i="4" s="1"/>
  <c r="D3" i="4"/>
  <c r="H11" i="4" s="1"/>
  <c r="V27" i="1"/>
  <c r="G3" i="6" s="1"/>
  <c r="F7" i="7"/>
  <c r="D7" i="4"/>
  <c r="AB11" i="4" s="1"/>
  <c r="V19" i="1"/>
  <c r="F4" i="5"/>
  <c r="H26" i="5" s="1"/>
  <c r="E7" i="6"/>
  <c r="D4" i="5"/>
  <c r="H13" i="5" s="1"/>
  <c r="V31" i="1"/>
  <c r="G7" i="6" s="1"/>
  <c r="D7" i="3"/>
  <c r="K14" i="3" s="1"/>
  <c r="D6" i="4"/>
  <c r="W11" i="4" s="1"/>
  <c r="D8" i="4"/>
  <c r="AG33" i="4" s="1"/>
  <c r="F6" i="7"/>
  <c r="V28" i="1"/>
  <c r="G4" i="6" s="1"/>
  <c r="D4" i="3"/>
  <c r="H14" i="3" s="1"/>
  <c r="E4" i="8"/>
  <c r="G4" i="8" s="1"/>
  <c r="N4" i="8" s="1"/>
  <c r="E4" i="6"/>
  <c r="E5" i="6"/>
  <c r="D5" i="5"/>
  <c r="I14" i="5" s="1"/>
  <c r="V20" i="1"/>
  <c r="V29" i="1"/>
  <c r="G5" i="6" s="1"/>
  <c r="E5" i="8"/>
  <c r="F10" i="7"/>
  <c r="V22" i="1"/>
  <c r="D7" i="5"/>
  <c r="F7" i="5"/>
  <c r="L27" i="5"/>
  <c r="D3" i="3" l="1"/>
  <c r="G13" i="3" s="1"/>
  <c r="F3" i="5"/>
  <c r="G26" i="5" s="1"/>
  <c r="E3" i="6"/>
  <c r="V18" i="1"/>
  <c r="D3" i="5"/>
  <c r="G13" i="5" s="1"/>
  <c r="AJ19" i="1"/>
  <c r="AJ22" i="1"/>
  <c r="AJ21" i="1"/>
  <c r="AJ23" i="1"/>
  <c r="AB12" i="4"/>
  <c r="AJ31" i="1"/>
  <c r="AJ29" i="1"/>
  <c r="E3" i="8"/>
  <c r="H3" i="8" s="1"/>
  <c r="O3" i="8" s="1"/>
  <c r="AJ20" i="1"/>
  <c r="H15" i="5"/>
  <c r="AB13" i="4"/>
  <c r="I13" i="3"/>
  <c r="W12" i="4"/>
  <c r="I13" i="5"/>
  <c r="W32" i="4"/>
  <c r="I15" i="5"/>
  <c r="W31" i="4"/>
  <c r="H14" i="5"/>
  <c r="AB31" i="4"/>
  <c r="AB32" i="4"/>
  <c r="W13" i="4"/>
  <c r="AJ32" i="1"/>
  <c r="M32" i="4"/>
  <c r="AB33" i="4"/>
  <c r="AJ30" i="1"/>
  <c r="M31" i="4"/>
  <c r="H13" i="3"/>
  <c r="L13" i="5"/>
  <c r="L15" i="5"/>
  <c r="H27" i="5"/>
  <c r="J14" i="3"/>
  <c r="J26" i="5"/>
  <c r="AJ28" i="1"/>
  <c r="K13" i="3"/>
  <c r="G14" i="5"/>
  <c r="R13" i="4"/>
  <c r="R32" i="4"/>
  <c r="M13" i="4"/>
  <c r="AG32" i="4"/>
  <c r="M33" i="4"/>
  <c r="G27" i="5"/>
  <c r="J15" i="5"/>
  <c r="J13" i="5"/>
  <c r="I26" i="5"/>
  <c r="M12" i="4"/>
  <c r="L14" i="3"/>
  <c r="W33" i="4"/>
  <c r="R33" i="4"/>
  <c r="AG12" i="4"/>
  <c r="J4" i="8"/>
  <c r="Q4" i="8" s="1"/>
  <c r="AG11" i="4"/>
  <c r="AG31" i="4"/>
  <c r="AG13" i="4"/>
  <c r="R12" i="4"/>
  <c r="R31" i="4"/>
  <c r="R11" i="4"/>
  <c r="H12" i="4"/>
  <c r="K4" i="8"/>
  <c r="R4" i="8" s="1"/>
  <c r="L4" i="8"/>
  <c r="S4" i="8" s="1"/>
  <c r="H4" i="8"/>
  <c r="O4" i="8" s="1"/>
  <c r="I4" i="8"/>
  <c r="P4" i="8" s="1"/>
  <c r="H31" i="4"/>
  <c r="H13" i="4"/>
  <c r="H32" i="4"/>
  <c r="H33" i="4"/>
  <c r="K14" i="5"/>
  <c r="K13" i="5"/>
  <c r="K15" i="5"/>
  <c r="K27" i="5"/>
  <c r="K26" i="5"/>
  <c r="I3" i="8"/>
  <c r="P3" i="8" s="1"/>
  <c r="L5" i="8"/>
  <c r="S5" i="8" s="1"/>
  <c r="I5" i="8"/>
  <c r="P5" i="8" s="1"/>
  <c r="J5" i="8"/>
  <c r="Q5" i="8" s="1"/>
  <c r="G5" i="8"/>
  <c r="N5" i="8" s="1"/>
  <c r="H5" i="8"/>
  <c r="O5" i="8" s="1"/>
  <c r="K5" i="8"/>
  <c r="R5" i="8" s="1"/>
  <c r="G7" i="8"/>
  <c r="N7" i="8" s="1"/>
  <c r="L7" i="8"/>
  <c r="S7" i="8" s="1"/>
  <c r="K7" i="8"/>
  <c r="R7" i="8" s="1"/>
  <c r="J7" i="8"/>
  <c r="Q7" i="8" s="1"/>
  <c r="I7" i="8"/>
  <c r="P7" i="8" s="1"/>
  <c r="H7" i="8"/>
  <c r="O7" i="8" s="1"/>
  <c r="L6" i="8"/>
  <c r="S6" i="8" s="1"/>
  <c r="I6" i="8"/>
  <c r="P6" i="8" s="1"/>
  <c r="J6" i="8"/>
  <c r="Q6" i="8" s="1"/>
  <c r="K6" i="8"/>
  <c r="R6" i="8" s="1"/>
  <c r="H6" i="8"/>
  <c r="O6" i="8" s="1"/>
  <c r="G6" i="8"/>
  <c r="N6" i="8" s="1"/>
  <c r="K8" i="8"/>
  <c r="R8" i="8" s="1"/>
  <c r="L8" i="8"/>
  <c r="S8" i="8" s="1"/>
  <c r="I8" i="8"/>
  <c r="P8" i="8" s="1"/>
  <c r="H8" i="8"/>
  <c r="O8" i="8" s="1"/>
  <c r="G8" i="8"/>
  <c r="N8" i="8" s="1"/>
  <c r="J8" i="8"/>
  <c r="Q8" i="8" s="1"/>
  <c r="I9" i="4" l="1"/>
  <c r="I11" i="4" s="1"/>
  <c r="G14" i="3"/>
  <c r="G15" i="5"/>
  <c r="L3" i="8"/>
  <c r="S3" i="8" s="1"/>
  <c r="G3" i="8"/>
  <c r="N3" i="8" s="1"/>
  <c r="K3" i="8"/>
  <c r="R3" i="8" s="1"/>
  <c r="J3" i="8"/>
  <c r="Q3" i="8" s="1"/>
  <c r="AJ18" i="1"/>
  <c r="AB14" i="4"/>
  <c r="I16" i="5"/>
  <c r="W34" i="4"/>
  <c r="AB34" i="4"/>
  <c r="AK32" i="1"/>
  <c r="H16" i="5"/>
  <c r="W14" i="4"/>
  <c r="I12" i="4"/>
  <c r="AK27" i="1"/>
  <c r="AK30" i="1"/>
  <c r="AG34" i="4"/>
  <c r="M34" i="4"/>
  <c r="J16" i="5"/>
  <c r="L16" i="5"/>
  <c r="AK28" i="1"/>
  <c r="R34" i="4"/>
  <c r="AK31" i="1"/>
  <c r="M14" i="4"/>
  <c r="AK29" i="1"/>
  <c r="H14" i="4"/>
  <c r="AG14" i="4"/>
  <c r="H34" i="4"/>
  <c r="R14" i="4"/>
  <c r="I29" i="4"/>
  <c r="I32" i="4" s="1"/>
  <c r="K16" i="5"/>
  <c r="G16" i="5" l="1"/>
  <c r="I31" i="4"/>
</calcChain>
</file>

<file path=xl/sharedStrings.xml><?xml version="1.0" encoding="utf-8"?>
<sst xmlns="http://schemas.openxmlformats.org/spreadsheetml/2006/main" count="5650" uniqueCount="345">
  <si>
    <t>T</t>
  </si>
  <si>
    <t>NN</t>
  </si>
  <si>
    <t>EN</t>
  </si>
  <si>
    <t>S</t>
  </si>
  <si>
    <t>LW</t>
  </si>
  <si>
    <t>SW</t>
  </si>
  <si>
    <t>H</t>
  </si>
  <si>
    <t>R</t>
  </si>
  <si>
    <t>Installed capacity (GW)</t>
  </si>
  <si>
    <t>Production (TWh)</t>
  </si>
  <si>
    <t>day</t>
  </si>
  <si>
    <t>hour</t>
  </si>
  <si>
    <t>BE</t>
  </si>
  <si>
    <t>Total</t>
  </si>
  <si>
    <t>to produce 1kWh:</t>
  </si>
  <si>
    <t>cutoff</t>
  </si>
  <si>
    <t>Database</t>
  </si>
  <si>
    <t>format</t>
  </si>
  <si>
    <t>Excel spreadsheet</t>
  </si>
  <si>
    <t>Activity</t>
  </si>
  <si>
    <t>production amount</t>
  </si>
  <si>
    <t>comment</t>
  </si>
  <si>
    <t>reference product</t>
  </si>
  <si>
    <t>location</t>
  </si>
  <si>
    <t>unit</t>
  </si>
  <si>
    <t>Exchanges</t>
  </si>
  <si>
    <t>name</t>
  </si>
  <si>
    <t>amount</t>
  </si>
  <si>
    <t>categories</t>
  </si>
  <si>
    <t>type</t>
  </si>
  <si>
    <t>M0</t>
  </si>
  <si>
    <t>FR</t>
  </si>
  <si>
    <t>Electricity, Low Voltage</t>
  </si>
  <si>
    <t>electricity production, photovoltaic, 3kWp slanted-roof installation, multi-Si, panel, mounted - FR</t>
  </si>
  <si>
    <t>electricity production, photovoltaic, 3kWp slanted-roof installation, single-Si, panel, mounted - FR</t>
  </si>
  <si>
    <t>electricity production, photovoltaic, 570kWp open ground installation, multi-Si - FR</t>
  </si>
  <si>
    <t>roof</t>
  </si>
  <si>
    <t>groung</t>
  </si>
  <si>
    <t>total</t>
  </si>
  <si>
    <t>RTE M0</t>
  </si>
  <si>
    <t>Existant</t>
  </si>
  <si>
    <t>entsoe</t>
  </si>
  <si>
    <t>roof m</t>
  </si>
  <si>
    <t>roof s</t>
  </si>
  <si>
    <t>%</t>
  </si>
  <si>
    <t>current inputs</t>
  </si>
  <si>
    <t>future input M0</t>
  </si>
  <si>
    <t>future %M0</t>
  </si>
  <si>
    <t>RTE M1</t>
  </si>
  <si>
    <t>future %M1</t>
  </si>
  <si>
    <t>future input M1</t>
  </si>
  <si>
    <t>M1</t>
  </si>
  <si>
    <t>M23</t>
  </si>
  <si>
    <t>future %M23</t>
  </si>
  <si>
    <t>future input M23</t>
  </si>
  <si>
    <t>RTE M23</t>
  </si>
  <si>
    <t>N1</t>
  </si>
  <si>
    <t>N2</t>
  </si>
  <si>
    <t>N03</t>
  </si>
  <si>
    <t>future %N1</t>
  </si>
  <si>
    <t>future %N2</t>
  </si>
  <si>
    <t>future %N03</t>
  </si>
  <si>
    <t>Electricity, High Voltage</t>
  </si>
  <si>
    <t>electricity production, wind, 1-3MW turbine, offshore - FR</t>
  </si>
  <si>
    <t>electricity production, wind, 1-3MW turbine, onshore - FR</t>
  </si>
  <si>
    <t>electricity production, wind, &lt;1MW turbine, onshore - FR</t>
  </si>
  <si>
    <t>electricity production, wind, &gt;3MW turbine, onshore - FR</t>
  </si>
  <si>
    <t>Percentage multi/single</t>
  </si>
  <si>
    <t>premise 17/83 residential/commercial</t>
  </si>
  <si>
    <t>existant onshore</t>
  </si>
  <si>
    <t>I dont know what is the existant proportion of roof and ground solar pannel to be replaced…</t>
  </si>
  <si>
    <t>scenario</t>
  </si>
  <si>
    <t>onshore</t>
  </si>
  <si>
    <t>offshore</t>
  </si>
  <si>
    <t>electricity production, wind, 1-3MW turbine, offshore Flotant- FR</t>
  </si>
  <si>
    <t>electricity production, hydro, reservoir, alpine region - FR</t>
  </si>
  <si>
    <t>electricity production, hydro, run-of-river - FR</t>
  </si>
  <si>
    <t>electricity production, nuclear, pressure water reactor - FR</t>
  </si>
  <si>
    <t>Bioenergy</t>
  </si>
  <si>
    <t>Battery</t>
  </si>
  <si>
    <t>tidal</t>
  </si>
  <si>
    <t>hydrogen</t>
  </si>
  <si>
    <t>rest</t>
  </si>
  <si>
    <t>heat and power co-generation, biogas, gas engine - FR</t>
  </si>
  <si>
    <t>fixed</t>
  </si>
  <si>
    <t>float</t>
  </si>
  <si>
    <t>transmission network construction, electricity, high voltage</t>
  </si>
  <si>
    <t>electricity production, from hydrogen, FE2050</t>
  </si>
  <si>
    <t>electricity production, from stationary battery, FE2050</t>
  </si>
  <si>
    <t>electricity production, from vehicle-to-grid, FE2050</t>
  </si>
  <si>
    <t>electricity production, hydro, pumped storage</t>
  </si>
  <si>
    <t>electricity production, hydro, reservoir, alpine region</t>
  </si>
  <si>
    <t>electricity production, hydro, run-of-river</t>
  </si>
  <si>
    <t>electricity production, natural gas, combined cycle power plant</t>
  </si>
  <si>
    <t>electricity production, photovoltaic</t>
  </si>
  <si>
    <t>electricity production, wave energy converter</t>
  </si>
  <si>
    <t>electricity production, wind, 1-3MW turbine, offshore</t>
  </si>
  <si>
    <t>electricity production, wind, 1-3MW turbine, onshore</t>
  </si>
  <si>
    <t>heat and power co-generation, wood chips, 6667 kW</t>
  </si>
  <si>
    <t>kilometer</t>
  </si>
  <si>
    <t>treatment of municipal solid waste, incineration</t>
  </si>
  <si>
    <t>transmission network, electricity, high voltage direct current aerial line</t>
  </si>
  <si>
    <t>transmission network, electricity, high voltage direct current land cable</t>
  </si>
  <si>
    <t>transmission network, electricity, high voltage direct current subsea cable</t>
  </si>
  <si>
    <t>ass rest</t>
  </si>
  <si>
    <t>New Nuclear</t>
  </si>
  <si>
    <t>Existing Nuclear</t>
  </si>
  <si>
    <t>Solar</t>
  </si>
  <si>
    <t>Land Wind (onshore)</t>
  </si>
  <si>
    <t>Sea Wind (offshore)</t>
  </si>
  <si>
    <t>Hydropower</t>
  </si>
  <si>
    <t>Rest</t>
  </si>
  <si>
    <t>Percentage</t>
  </si>
  <si>
    <t>from premise:</t>
  </si>
  <si>
    <t>efficiency</t>
  </si>
  <si>
    <t>=</t>
  </si>
  <si>
    <t>&lt;</t>
  </si>
  <si>
    <t>&lt;/=</t>
  </si>
  <si>
    <t>RER</t>
  </si>
  <si>
    <t>kWh</t>
  </si>
  <si>
    <t>RTE scenarios adapted from Ecoinvent - no background data altered</t>
  </si>
  <si>
    <t>electricity production, photovoltaic, 3kWp slanted-roof installation, multi-Si, panel, mounted</t>
  </si>
  <si>
    <t>electricity production, photovoltaic, 3kWp slanted-roof installation, single-Si, panel, mounted</t>
  </si>
  <si>
    <t>electricity production, wind, &gt;3MW turbine, onshore</t>
  </si>
  <si>
    <t>market for transmission network, electricity, high voltage direct current land cable</t>
  </si>
  <si>
    <t>market for transmission network, electricity, high voltage direct current aerial line</t>
  </si>
  <si>
    <t>market for sulfur hexafluoride, liquid</t>
  </si>
  <si>
    <t>GLO</t>
  </si>
  <si>
    <t>market for transmission network, electricity, medium voltage</t>
  </si>
  <si>
    <t>market for distribution network, electricity, low voltage</t>
  </si>
  <si>
    <t>CH</t>
  </si>
  <si>
    <t>electricity production, wind, &lt;1MW turbine, onshore</t>
  </si>
  <si>
    <t>electricity production, nuclear, pressure water reactor</t>
  </si>
  <si>
    <t>electricity production, photovoltaic, 570kWp open ground installation, multi-Si</t>
  </si>
  <si>
    <t>technosphere</t>
  </si>
  <si>
    <t xml:space="preserve"> </t>
  </si>
  <si>
    <t>heat and power co-generation, biogas, gas engine </t>
  </si>
  <si>
    <t>skip</t>
  </si>
  <si>
    <t>km</t>
  </si>
  <si>
    <t>kg</t>
  </si>
  <si>
    <t>to be build</t>
  </si>
  <si>
    <t xml:space="preserve">solar efficiency </t>
  </si>
  <si>
    <t>Source: IEA World Energy Balances https://www.iea.org/data-and-statistics/data-product/world-energy-statistics-and-balances</t>
  </si>
  <si>
    <t>Documentation: undefined</t>
  </si>
  <si>
    <t>This data is subject to the IEA's terms and conditions: https://www.iea.org/terms</t>
  </si>
  <si>
    <t>Imports</t>
  </si>
  <si>
    <t>Exports</t>
  </si>
  <si>
    <t>Units</t>
  </si>
  <si>
    <t>TJ</t>
  </si>
  <si>
    <t>TWh</t>
  </si>
  <si>
    <t>from the plot</t>
  </si>
  <si>
    <t>electricity, high voltage</t>
  </si>
  <si>
    <t>electricity, low voltage</t>
  </si>
  <si>
    <t>distribution network, electricity, low voltage</t>
  </si>
  <si>
    <t>sulfur hexafluoride, liquid</t>
  </si>
  <si>
    <t>transmission network, electricity, medium voltage</t>
  </si>
  <si>
    <t>market for electricity, high voltage</t>
  </si>
  <si>
    <t>market for transmission network, electricity, high voltage direct current subsea cable</t>
  </si>
  <si>
    <t>High-medium</t>
  </si>
  <si>
    <t>medium-low</t>
  </si>
  <si>
    <t>electricity</t>
  </si>
  <si>
    <t>sulfur</t>
  </si>
  <si>
    <t>proxy for flotant: data provided by Tsai et al. 2016 for fixed foundations of 3 MW wind turbines and Weinzettel et al., 2008 for a spar floating foundations of 5 MW wind turbines.</t>
  </si>
  <si>
    <t>Imp</t>
  </si>
  <si>
    <t>Exp</t>
  </si>
  <si>
    <t>Total-expot</t>
  </si>
  <si>
    <t>EI</t>
  </si>
  <si>
    <t>new</t>
  </si>
  <si>
    <t>IT</t>
  </si>
  <si>
    <t>GB</t>
  </si>
  <si>
    <t>DE</t>
  </si>
  <si>
    <t>ES</t>
  </si>
  <si>
    <t>electricity, high voltage, import from GB</t>
  </si>
  <si>
    <t>electricity, high voltage, import from CH</t>
  </si>
  <si>
    <t>production</t>
  </si>
  <si>
    <t>H-H</t>
  </si>
  <si>
    <t>H-M</t>
  </si>
  <si>
    <t>M-M</t>
  </si>
  <si>
    <t>M-L</t>
  </si>
  <si>
    <t>L-L</t>
  </si>
  <si>
    <t>demand 2050</t>
  </si>
  <si>
    <t>demand 2019</t>
  </si>
  <si>
    <t>demand increase</t>
  </si>
  <si>
    <t>Offre totale</t>
  </si>
  <si>
    <t>Solde importateur</t>
  </si>
  <si>
    <t>dont éolien terrestre</t>
  </si>
  <si>
    <t>dont éolien en mer</t>
  </si>
  <si>
    <t>Solaire</t>
  </si>
  <si>
    <t>Hydraulique et autres EnR (hors EnR thermiques) (2)</t>
  </si>
  <si>
    <t>Nucléaire</t>
  </si>
  <si>
    <t xml:space="preserve">Stockages (STEP, batteries stationnaires, vehicle-to-grid) (injection) </t>
  </si>
  <si>
    <t>total - imports/exports</t>
  </si>
  <si>
    <t>F</t>
  </si>
  <si>
    <t>to produce 1kWh</t>
  </si>
  <si>
    <t>UK</t>
  </si>
  <si>
    <t>electricity production, hydro, reservoir, non-alpine region</t>
  </si>
  <si>
    <t>heat and power co-generation, biogas, gas engine</t>
  </si>
  <si>
    <t>current</t>
  </si>
  <si>
    <t>proxy for FR imports</t>
  </si>
  <si>
    <t>electricity production, nuclear, boiling water reactor</t>
  </si>
  <si>
    <t>proxy for flexibilities</t>
  </si>
  <si>
    <t>losses</t>
  </si>
  <si>
    <t>transformation</t>
  </si>
  <si>
    <t>electricity, high voltage, import from ME</t>
  </si>
  <si>
    <t>electricity, high voltage, import from FR</t>
  </si>
  <si>
    <t>electricity, high voltage, import from MT</t>
  </si>
  <si>
    <t>electricity, high voltage, import from AT</t>
  </si>
  <si>
    <t>electricity, high voltage, import from SI</t>
  </si>
  <si>
    <t>electricity, high voltage, import from GR</t>
  </si>
  <si>
    <t>Thermique (y,c, thermique décarboné) (3)</t>
  </si>
  <si>
    <t>rest:</t>
  </si>
  <si>
    <t>electricity, high voltage, import from DK</t>
  </si>
  <si>
    <t>electricity, high voltage, import from NL</t>
  </si>
  <si>
    <t>electricity, high voltage, import from PL</t>
  </si>
  <si>
    <t>electricity, high voltage, import from SE</t>
  </si>
  <si>
    <t>electricity, high voltage, import from CZ</t>
  </si>
  <si>
    <t>proxy for CH imports</t>
  </si>
  <si>
    <t>electricity, high voltage, import from LU</t>
  </si>
  <si>
    <t>heat and power co-generation, wood chips, 6667 kW, state-of-the-art 2014</t>
  </si>
  <si>
    <t>future input N1</t>
  </si>
  <si>
    <t>future input N2</t>
  </si>
  <si>
    <t>future input N3</t>
  </si>
  <si>
    <t>to be improved: check sulfur use according to production (current proxy considers same sulfur)</t>
  </si>
  <si>
    <t>proxy for italy</t>
  </si>
  <si>
    <t>heat and power co-generation, natural gas, combined cycle power plant, 400MW electrical</t>
  </si>
  <si>
    <t>treatment of blast furnace gas, in power plant</t>
  </si>
  <si>
    <t>electricity production, natural gas, conventional power plant</t>
  </si>
  <si>
    <t>heat and power co-generation, natural gas, conventional power plant, 100MW electrical</t>
  </si>
  <si>
    <t>electricity production, oil</t>
  </si>
  <si>
    <t>heat and power co-generation, oil</t>
  </si>
  <si>
    <t>losses + proxy electricity not generated by fossil fuels will be distibuted among all the sources</t>
  </si>
  <si>
    <t>adjustment to add solar into 1kWh high voltage mix</t>
  </si>
  <si>
    <t>Total-exp</t>
  </si>
  <si>
    <t>current share</t>
  </si>
  <si>
    <t>total:</t>
  </si>
  <si>
    <t>known:</t>
  </si>
  <si>
    <t>unknown:</t>
  </si>
  <si>
    <t>electricity, medium voltage</t>
  </si>
  <si>
    <t>pump</t>
  </si>
  <si>
    <t>P</t>
  </si>
  <si>
    <t>BA</t>
  </si>
  <si>
    <t>Bio</t>
  </si>
  <si>
    <t>H2</t>
  </si>
  <si>
    <t>same as ecoinvent</t>
  </si>
  <si>
    <t>losses as ecoinvent</t>
  </si>
  <si>
    <t>RTE scenarios adapted from Ecoinvent - no background data altered. Instead of creating a transformation activitie the transformation value was used directly in the high voltage activity (in ecoinvent municipal waste + high voltage transformation = 1 and high voltage transformation = 1,006)</t>
  </si>
  <si>
    <t>DK</t>
  </si>
  <si>
    <t>NL</t>
  </si>
  <si>
    <t>PL</t>
  </si>
  <si>
    <t>SE</t>
  </si>
  <si>
    <t>AT</t>
  </si>
  <si>
    <t>CZ</t>
  </si>
  <si>
    <t>ME</t>
  </si>
  <si>
    <t>MT</t>
  </si>
  <si>
    <t>SI</t>
  </si>
  <si>
    <t>GR</t>
  </si>
  <si>
    <t>LU</t>
  </si>
  <si>
    <t>0.31049571912943</t>
  </si>
  <si>
    <t>0.320476720511833</t>
  </si>
  <si>
    <t>0.201449987080828</t>
  </si>
  <si>
    <t>0.194183326022018</t>
  </si>
  <si>
    <t>0.15423199844445</t>
  </si>
  <si>
    <t>0.122120321162615</t>
  </si>
  <si>
    <t>market for electricity, high voltage M0</t>
  </si>
  <si>
    <t>market for electricity, low voltage M0</t>
  </si>
  <si>
    <t>market group for neighbours, low voltage M0</t>
  </si>
  <si>
    <t>market for electricity, medium voltage M0</t>
  </si>
  <si>
    <t>market for electricity, high voltage M1</t>
  </si>
  <si>
    <t>market for electricity, low voltage M1</t>
  </si>
  <si>
    <t>market group for neighbours, low voltage M1</t>
  </si>
  <si>
    <t>market for electricity, medium voltage M1</t>
  </si>
  <si>
    <t>market for electricity, high voltage M23</t>
  </si>
  <si>
    <t>market for electricity, low voltage M23</t>
  </si>
  <si>
    <t>market group for neighbours, low voltage M23</t>
  </si>
  <si>
    <t>market for electricity, medium voltage M23</t>
  </si>
  <si>
    <t>market for electricity, high voltage N1</t>
  </si>
  <si>
    <t>market for electricity, low voltage N1</t>
  </si>
  <si>
    <t>market group for neighbours, low voltage N1</t>
  </si>
  <si>
    <t>market for electricity, medium voltage N1</t>
  </si>
  <si>
    <t>market for electricity, high voltage N2</t>
  </si>
  <si>
    <t>market for electricity, low voltage N2</t>
  </si>
  <si>
    <t>market group for neighbours, low voltage N2</t>
  </si>
  <si>
    <t>market for electricity, medium voltage N2</t>
  </si>
  <si>
    <t>market for electricity, high voltage N03</t>
  </si>
  <si>
    <t>market for electricity, low voltage N03</t>
  </si>
  <si>
    <t>market group for neighbours, low voltage N03</t>
  </si>
  <si>
    <t>market for electricity, medium voltage N03</t>
  </si>
  <si>
    <t>market for electricity, high voltage IT M0</t>
  </si>
  <si>
    <t>market for electricity, high voltage GB M0</t>
  </si>
  <si>
    <t>market for electricity, high voltage DE M0</t>
  </si>
  <si>
    <t>market for electricity, high voltage BE M0</t>
  </si>
  <si>
    <t>market for electricity, high voltage ES M0</t>
  </si>
  <si>
    <t xml:space="preserve">market for electricity, high voltage IT M1 </t>
  </si>
  <si>
    <t xml:space="preserve">market for electricity, high voltage GB M1 </t>
  </si>
  <si>
    <t xml:space="preserve">market for electricity, high voltage DE M1 </t>
  </si>
  <si>
    <t xml:space="preserve">market for electricity, high voltage BE M1 </t>
  </si>
  <si>
    <t xml:space="preserve">market for electricity, high voltage ES M1 </t>
  </si>
  <si>
    <t xml:space="preserve">market group for neighbours, low voltage M23 </t>
  </si>
  <si>
    <t xml:space="preserve">market for electricity, high voltage IT M23 </t>
  </si>
  <si>
    <t xml:space="preserve">market for electricity, high voltage GB M23 </t>
  </si>
  <si>
    <t xml:space="preserve">market for electricity, high voltage DE M23 </t>
  </si>
  <si>
    <t xml:space="preserve">market for electricity, high voltage BE M23 </t>
  </si>
  <si>
    <t xml:space="preserve">market for electricity, high voltage ES M23 </t>
  </si>
  <si>
    <t xml:space="preserve">market group for neighbours, low voltage N1 </t>
  </si>
  <si>
    <t xml:space="preserve">market for electricity, high voltage IT N1 </t>
  </si>
  <si>
    <t xml:space="preserve">market for electricity, high voltage GB N1 </t>
  </si>
  <si>
    <t xml:space="preserve">market for electricity, high voltage DE N1 </t>
  </si>
  <si>
    <t xml:space="preserve">market for electricity, high voltage BE N1 </t>
  </si>
  <si>
    <t xml:space="preserve">market for electricity, high voltage ES N1 </t>
  </si>
  <si>
    <t xml:space="preserve">market group for neighbours, low voltage N2 </t>
  </si>
  <si>
    <t xml:space="preserve">market for electricity, high voltage IT N2 </t>
  </si>
  <si>
    <t xml:space="preserve">market for electricity, high voltage GB N2 </t>
  </si>
  <si>
    <t xml:space="preserve">market for electricity, high voltage DE N2 </t>
  </si>
  <si>
    <t xml:space="preserve">market for electricity, high voltage BE N2 </t>
  </si>
  <si>
    <t xml:space="preserve">market for electricity, high voltage ES N2 </t>
  </si>
  <si>
    <t xml:space="preserve">market group for neighbours, low voltage N03 </t>
  </si>
  <si>
    <t xml:space="preserve">market for electricity, high voltage IT N03 </t>
  </si>
  <si>
    <t xml:space="preserve">market for electricity, high voltage GB N03 </t>
  </si>
  <si>
    <t xml:space="preserve">market for electricity, high voltage DE N03 </t>
  </si>
  <si>
    <t xml:space="preserve">market for electricity, high voltage BE N03 </t>
  </si>
  <si>
    <t xml:space="preserve">market for electricity, high voltage ES N03 </t>
  </si>
  <si>
    <t xml:space="preserve">market for electricity, high voltage DE M0 </t>
  </si>
  <si>
    <t xml:space="preserve">market for electricity, high voltage M0 </t>
  </si>
  <si>
    <t xml:space="preserve">market for electricity, high voltage GB M0 </t>
  </si>
  <si>
    <t xml:space="preserve">market for electricity, high voltage IT M0 </t>
  </si>
  <si>
    <t xml:space="preserve">market for electricity, low voltage M0 </t>
  </si>
  <si>
    <t xml:space="preserve">market for electricity, high voltage ES M0 </t>
  </si>
  <si>
    <t xml:space="preserve">market for electricity, high voltage BE M0 </t>
  </si>
  <si>
    <t xml:space="preserve">market for electricity, high voltage M1 </t>
  </si>
  <si>
    <t xml:space="preserve">market for electricity, low voltage M1 </t>
  </si>
  <si>
    <t xml:space="preserve">market group for neighbours, low voltage M1 </t>
  </si>
  <si>
    <t xml:space="preserve">market for electricity, high voltage M23 </t>
  </si>
  <si>
    <t xml:space="preserve">market for electricity, low voltage M23 </t>
  </si>
  <si>
    <t xml:space="preserve">market for electricity, high voltage N1 </t>
  </si>
  <si>
    <t xml:space="preserve">market for electricity, low voltage N1 </t>
  </si>
  <si>
    <t xml:space="preserve">market for electricity, low voltage N2 </t>
  </si>
  <si>
    <t xml:space="preserve">market for electricity, high voltage N2 </t>
  </si>
  <si>
    <t xml:space="preserve">market for electricity, low voltage N03 </t>
  </si>
  <si>
    <t xml:space="preserve">market for electricity, high voltage N03 </t>
  </si>
  <si>
    <t>proxy for the remaining activities: flexibilities: 2*</t>
  </si>
  <si>
    <t>RTE scenarios adapted from Ecoinvent - no background data altered. The total sum of the activities amount is 1, but due to the remaining activities (flexiilities) proxy of 2x the total sum increases accordingly. Room for improovement: sensitivity analysis of this proxy</t>
  </si>
  <si>
    <t>RTE scenarios adapted from Ecoinvent - no background data altered. The total sum of the activities amount is 1, but due to the "remaining" (flexiilities) proxy of 1,5 the total sum increases accordingly. Room for improovement: sensitivity analysis of this proxy</t>
  </si>
  <si>
    <t>proxy for the remaining: flexibilities: 2*</t>
  </si>
  <si>
    <t>RTE scenarios neighbouring imports</t>
  </si>
  <si>
    <t>electricity production, Evolutionary Power Reactor (EPR)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</si>
</sst>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E+00"/>
    <numFmt numFmtId="165" formatCode="0.000000"/>
    <numFmt numFmtId="166" formatCode="0.000E+00"/>
    <numFmt numFmtId="167" formatCode="0.0%"/>
  </numFmts>
  <fonts count="10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color rgb="FFFFFFFF"/>
      <name val="Arial"/>
      <family val="2"/>
    </font>
    <font>
      <sz val="11"/>
      <color theme="1"/>
      <name val="Calibri"/>
      <family val="2"/>
      <scheme val="minor"/>
    </font>
    <font>
      <sz val="12"/>
      <color theme="0" tint="-0.499984740745262"/>
      <name val="Arial"/>
      <family val="2"/>
    </font>
    <font>
      <sz val="11"/>
      <color theme="0" tint="-0.499984740745262"/>
      <name val="Calibri"/>
      <family val="2"/>
      <scheme val="minor"/>
    </font>
    <font>
      <sz val="12"/>
      <name val="Arial"/>
      <family val="2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52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 vertical="center" wrapText="1"/>
    </xf>
    <xf numFmtId="11" fontId="1" fillId="0" borderId="0" xfId="0" applyNumberFormat="1" applyFont="1" applyAlignment="1">
      <alignment horizontal="right" vertical="center" wrapText="1"/>
    </xf>
    <xf numFmtId="164" fontId="1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left"/>
    </xf>
    <xf numFmtId="0" fontId="2" fillId="0" borderId="0" xfId="0" applyFont="1"/>
    <xf numFmtId="164" fontId="2" fillId="0" borderId="0" xfId="0" applyNumberFormat="1" applyFont="1"/>
    <xf numFmtId="0" fontId="4" fillId="0" borderId="0" xfId="0" applyFont="1" applyAlignment="1">
      <alignment vertical="center" wrapText="1"/>
    </xf>
    <xf numFmtId="2" fontId="0" fillId="0" borderId="0" xfId="0" applyNumberFormat="1"/>
    <xf numFmtId="165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2" fontId="0" fillId="0" borderId="5" xfId="0" applyNumberFormat="1" applyBorder="1"/>
    <xf numFmtId="0" fontId="3" fillId="0" borderId="1" xfId="0" applyFont="1" applyBorder="1"/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/>
    <xf numFmtId="2" fontId="3" fillId="0" borderId="0" xfId="0" applyNumberFormat="1" applyFont="1"/>
    <xf numFmtId="11" fontId="2" fillId="0" borderId="0" xfId="0" applyNumberFormat="1" applyFont="1"/>
    <xf numFmtId="0" fontId="2" fillId="0" borderId="9" xfId="0" applyFont="1" applyBorder="1" applyAlignment="1">
      <alignment horizontal="left"/>
    </xf>
    <xf numFmtId="0" fontId="2" fillId="0" borderId="9" xfId="0" applyFont="1" applyBorder="1"/>
    <xf numFmtId="0" fontId="1" fillId="0" borderId="9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right" vertical="center" wrapText="1"/>
    </xf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11" fontId="2" fillId="0" borderId="9" xfId="0" applyNumberFormat="1" applyFont="1" applyBorder="1"/>
    <xf numFmtId="0" fontId="2" fillId="0" borderId="13" xfId="0" applyFont="1" applyBorder="1"/>
    <xf numFmtId="0" fontId="2" fillId="0" borderId="7" xfId="0" applyFont="1" applyBorder="1"/>
    <xf numFmtId="0" fontId="2" fillId="0" borderId="6" xfId="0" applyFont="1" applyBorder="1"/>
    <xf numFmtId="11" fontId="0" fillId="0" borderId="0" xfId="0" applyNumberFormat="1"/>
    <xf numFmtId="0" fontId="3" fillId="0" borderId="0" xfId="0" applyFont="1"/>
    <xf numFmtId="0" fontId="6" fillId="0" borderId="9" xfId="0" applyFont="1" applyBorder="1"/>
    <xf numFmtId="9" fontId="0" fillId="0" borderId="0" xfId="0" applyNumberFormat="1"/>
    <xf numFmtId="0" fontId="0" fillId="0" borderId="9" xfId="0" applyBorder="1"/>
    <xf numFmtId="0" fontId="7" fillId="0" borderId="0" xfId="0" applyFont="1"/>
    <xf numFmtId="0" fontId="8" fillId="0" borderId="9" xfId="0" applyFont="1" applyBorder="1"/>
    <xf numFmtId="0" fontId="8" fillId="0" borderId="0" xfId="0" applyFont="1"/>
    <xf numFmtId="167" fontId="2" fillId="0" borderId="0" xfId="0" applyNumberFormat="1" applyFont="1"/>
    <xf numFmtId="167" fontId="6" fillId="0" borderId="0" xfId="0" applyNumberFormat="1" applyFont="1"/>
    <xf numFmtId="0" fontId="7" fillId="2" borderId="0" xfId="0" applyFont="1" applyFill="1"/>
    <xf numFmtId="11" fontId="7" fillId="2" borderId="0" xfId="0" applyNumberFormat="1" applyFont="1" applyFill="1"/>
    <xf numFmtId="0" fontId="0" fillId="2" borderId="0" xfId="0" applyFill="1"/>
    <xf numFmtId="11" fontId="0" fillId="2" borderId="0" xfId="0" applyNumberFormat="1" applyFill="1"/>
    <xf numFmtId="0" fontId="9" fillId="0" borderId="0" xfId="0" applyFont="1"/>
    <xf numFmtId="0" fontId="9" fillId="3" borderId="0" xfId="0" applyFont="1" applyFill="1"/>
    <xf numFmtId="0" fontId="0" fillId="3" borderId="0" xfId="0" applyFill="1"/>
  </cellXfs>
  <cellStyles count="3">
    <cellStyle name="Normal" xfId="0" builtinId="0"/>
    <cellStyle name="Normal 11 3" xfId="1" xr:uid="{AB52BC84-9BFB-4AF6-AA80-3E9CC2DF8DCF}"/>
    <cellStyle name="Normal 2" xfId="2" xr:uid="{CF920C59-9FB1-4708-BCF6-2860AECF2B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5DF1C-11B7-467D-8C5A-F8506BBAF7E1}">
  <dimension ref="A1:AA13219"/>
  <sheetViews>
    <sheetView tabSelected="1" topLeftCell="A177" workbookViewId="0">
      <selection activeCell="A180" sqref="A180"/>
    </sheetView>
  </sheetViews>
  <sheetFormatPr defaultRowHeight="14.5" x14ac:dyDescent="0.35"/>
  <cols>
    <col min="1" max="1" width="78.453125" customWidth="1"/>
    <col min="2" max="2" width="12.1796875" style="35" customWidth="1"/>
    <col min="3" max="3" width="9.1796875" customWidth="1"/>
    <col min="4" max="4" width="4.90625" customWidth="1"/>
    <col min="5" max="5" width="9.26953125" bestFit="1" customWidth="1"/>
    <col min="6" max="6" width="16.36328125" customWidth="1"/>
    <col min="7" max="7" width="21.36328125" bestFit="1" customWidth="1"/>
  </cols>
  <sheetData>
    <row r="1" spans="1:8" x14ac:dyDescent="0.35">
      <c r="A1" t="s">
        <v>15</v>
      </c>
      <c r="B1" s="35">
        <v>8</v>
      </c>
    </row>
    <row r="2" spans="1:8" x14ac:dyDescent="0.35">
      <c r="A2" t="s">
        <v>16</v>
      </c>
      <c r="B2" s="35" t="s">
        <v>343</v>
      </c>
    </row>
    <row r="3" spans="1:8" x14ac:dyDescent="0.35">
      <c r="A3" t="s">
        <v>17</v>
      </c>
      <c r="B3" s="35" t="s">
        <v>18</v>
      </c>
    </row>
    <row r="6" spans="1:8" x14ac:dyDescent="0.35">
      <c r="A6" s="36" t="s">
        <v>19</v>
      </c>
      <c r="B6" s="35" t="s">
        <v>263</v>
      </c>
    </row>
    <row r="7" spans="1:8" x14ac:dyDescent="0.35">
      <c r="A7" t="s">
        <v>20</v>
      </c>
      <c r="B7" s="35">
        <v>1</v>
      </c>
    </row>
    <row r="8" spans="1:8" x14ac:dyDescent="0.35">
      <c r="A8" t="s">
        <v>21</v>
      </c>
      <c r="B8" s="35" t="s">
        <v>341</v>
      </c>
    </row>
    <row r="9" spans="1:8" x14ac:dyDescent="0.35">
      <c r="A9" t="s">
        <v>22</v>
      </c>
      <c r="B9" s="35" t="s">
        <v>151</v>
      </c>
    </row>
    <row r="10" spans="1:8" x14ac:dyDescent="0.35">
      <c r="A10" t="s">
        <v>23</v>
      </c>
      <c r="B10" s="35" t="s">
        <v>31</v>
      </c>
    </row>
    <row r="11" spans="1:8" x14ac:dyDescent="0.35">
      <c r="A11" t="s">
        <v>24</v>
      </c>
      <c r="B11" s="35" t="s">
        <v>119</v>
      </c>
    </row>
    <row r="12" spans="1:8" x14ac:dyDescent="0.35">
      <c r="A12" t="s">
        <v>25</v>
      </c>
    </row>
    <row r="13" spans="1:8" x14ac:dyDescent="0.35">
      <c r="A13" t="s">
        <v>26</v>
      </c>
      <c r="B13" s="35" t="s">
        <v>27</v>
      </c>
      <c r="C13" t="s">
        <v>23</v>
      </c>
      <c r="D13" t="s">
        <v>24</v>
      </c>
      <c r="E13" t="s">
        <v>28</v>
      </c>
      <c r="F13" t="s">
        <v>29</v>
      </c>
      <c r="G13" t="s">
        <v>22</v>
      </c>
      <c r="H13" t="s">
        <v>21</v>
      </c>
    </row>
    <row r="14" spans="1:8" x14ac:dyDescent="0.35">
      <c r="A14" s="35" t="str">
        <f>B6</f>
        <v>market for electricity, high voltage M0</v>
      </c>
      <c r="B14" s="35">
        <v>1</v>
      </c>
      <c r="C14" t="s">
        <v>31</v>
      </c>
      <c r="D14" t="s">
        <v>119</v>
      </c>
      <c r="F14" t="s">
        <v>174</v>
      </c>
      <c r="G14" s="35" t="str">
        <f>B9</f>
        <v>electricity, high voltage</v>
      </c>
    </row>
    <row r="15" spans="1:8" x14ac:dyDescent="0.35">
      <c r="A15" s="35" t="s">
        <v>263</v>
      </c>
      <c r="B15" s="35">
        <f>Sheet1!L37</f>
        <v>3.1242684515255099E-2</v>
      </c>
      <c r="C15" t="s">
        <v>31</v>
      </c>
      <c r="D15" t="s">
        <v>119</v>
      </c>
      <c r="F15" t="s">
        <v>134</v>
      </c>
      <c r="G15" t="s">
        <v>151</v>
      </c>
      <c r="H15" t="s">
        <v>244</v>
      </c>
    </row>
    <row r="16" spans="1:8" x14ac:dyDescent="0.35">
      <c r="A16" t="s">
        <v>91</v>
      </c>
      <c r="B16" s="35">
        <f>hydro!G13</f>
        <v>1.2258496717471564E-2</v>
      </c>
      <c r="C16" t="s">
        <v>31</v>
      </c>
      <c r="D16" t="s">
        <v>119</v>
      </c>
      <c r="F16" t="s">
        <v>134</v>
      </c>
      <c r="G16" t="s">
        <v>151</v>
      </c>
    </row>
    <row r="17" spans="1:8" x14ac:dyDescent="0.35">
      <c r="A17" t="s">
        <v>92</v>
      </c>
      <c r="B17" s="35">
        <f>hydro!G14</f>
        <v>6.4358914525468394E-2</v>
      </c>
      <c r="C17" t="s">
        <v>31</v>
      </c>
      <c r="D17" t="s">
        <v>119</v>
      </c>
      <c r="F17" t="s">
        <v>134</v>
      </c>
      <c r="G17" t="s">
        <v>151</v>
      </c>
    </row>
    <row r="18" spans="1:8" x14ac:dyDescent="0.35">
      <c r="A18" t="s">
        <v>97</v>
      </c>
      <c r="B18" s="35">
        <f>Wind!G13</f>
        <v>0.17048801967484897</v>
      </c>
      <c r="C18" t="s">
        <v>31</v>
      </c>
      <c r="D18" t="s">
        <v>119</v>
      </c>
      <c r="F18" t="s">
        <v>134</v>
      </c>
      <c r="G18" t="s">
        <v>151</v>
      </c>
    </row>
    <row r="19" spans="1:8" x14ac:dyDescent="0.35">
      <c r="A19" s="9" t="s">
        <v>131</v>
      </c>
      <c r="B19" s="35">
        <f>Wind!G14</f>
        <v>1.0957029358654504E-2</v>
      </c>
      <c r="C19" t="s">
        <v>31</v>
      </c>
      <c r="D19" t="s">
        <v>119</v>
      </c>
      <c r="F19" t="s">
        <v>134</v>
      </c>
      <c r="G19" t="s">
        <v>151</v>
      </c>
    </row>
    <row r="20" spans="1:8" x14ac:dyDescent="0.35">
      <c r="A20" t="s">
        <v>123</v>
      </c>
      <c r="B20" s="35">
        <f>Wind!G15</f>
        <v>7.0430603928213432E-4</v>
      </c>
      <c r="C20" t="s">
        <v>31</v>
      </c>
      <c r="D20" t="s">
        <v>119</v>
      </c>
      <c r="F20" t="s">
        <v>134</v>
      </c>
      <c r="G20" t="s">
        <v>151</v>
      </c>
    </row>
    <row r="21" spans="1:8" x14ac:dyDescent="0.35">
      <c r="A21" t="s">
        <v>96</v>
      </c>
      <c r="B21" s="35">
        <f>Wind!G26</f>
        <v>0.10907000899870754</v>
      </c>
      <c r="C21" t="s">
        <v>31</v>
      </c>
      <c r="D21" t="s">
        <v>119</v>
      </c>
      <c r="F21" t="s">
        <v>134</v>
      </c>
      <c r="G21" t="s">
        <v>151</v>
      </c>
    </row>
    <row r="22" spans="1:8" x14ac:dyDescent="0.35">
      <c r="A22" t="s">
        <v>96</v>
      </c>
      <c r="B22" s="35">
        <f>Wind!G27</f>
        <v>0.16360501349806131</v>
      </c>
      <c r="C22" t="s">
        <v>31</v>
      </c>
      <c r="D22" t="s">
        <v>119</v>
      </c>
      <c r="F22" t="s">
        <v>134</v>
      </c>
      <c r="G22" t="s">
        <v>151</v>
      </c>
      <c r="H22" t="s">
        <v>162</v>
      </c>
    </row>
    <row r="23" spans="1:8" x14ac:dyDescent="0.35">
      <c r="A23" s="10" t="s">
        <v>136</v>
      </c>
      <c r="B23" s="35">
        <f>Biogas!F6</f>
        <v>1.1956220225809102E-2</v>
      </c>
      <c r="C23" t="s">
        <v>31</v>
      </c>
      <c r="D23" t="s">
        <v>119</v>
      </c>
      <c r="F23" t="s">
        <v>134</v>
      </c>
      <c r="G23" t="s">
        <v>151</v>
      </c>
    </row>
    <row r="24" spans="1:8" x14ac:dyDescent="0.35">
      <c r="A24" t="s">
        <v>264</v>
      </c>
      <c r="B24" s="35">
        <f>Sheet1!AJ27*2</f>
        <v>0.17909929889273229</v>
      </c>
      <c r="C24" t="s">
        <v>31</v>
      </c>
      <c r="D24" t="s">
        <v>119</v>
      </c>
      <c r="F24" t="s">
        <v>134</v>
      </c>
      <c r="G24" t="s">
        <v>151</v>
      </c>
      <c r="H24" t="s">
        <v>339</v>
      </c>
    </row>
    <row r="25" spans="1:8" x14ac:dyDescent="0.35">
      <c r="A25" t="s">
        <v>94</v>
      </c>
      <c r="B25" s="35">
        <f>Sheet1!X27</f>
        <v>0.31049571912943025</v>
      </c>
      <c r="C25" t="s">
        <v>31</v>
      </c>
      <c r="D25" t="s">
        <v>119</v>
      </c>
      <c r="F25" t="s">
        <v>134</v>
      </c>
      <c r="G25" t="s">
        <v>152</v>
      </c>
    </row>
    <row r="26" spans="1:8" x14ac:dyDescent="0.35">
      <c r="A26" s="35" t="s">
        <v>265</v>
      </c>
      <c r="B26" s="35">
        <f>Sheet1!AI27</f>
        <v>5.6556622385900313E-2</v>
      </c>
      <c r="C26" t="s">
        <v>118</v>
      </c>
      <c r="D26" t="s">
        <v>119</v>
      </c>
      <c r="F26" t="s">
        <v>134</v>
      </c>
      <c r="G26" t="s">
        <v>151</v>
      </c>
    </row>
    <row r="27" spans="1:8" x14ac:dyDescent="0.35">
      <c r="A27" t="s">
        <v>125</v>
      </c>
      <c r="B27" s="35">
        <f>Sheet1!AL28</f>
        <v>5.65463552361011E-9</v>
      </c>
      <c r="C27" t="s">
        <v>127</v>
      </c>
      <c r="D27" t="s">
        <v>138</v>
      </c>
      <c r="F27" t="s">
        <v>134</v>
      </c>
      <c r="G27" t="s">
        <v>101</v>
      </c>
      <c r="H27" t="s">
        <v>243</v>
      </c>
    </row>
    <row r="28" spans="1:8" x14ac:dyDescent="0.35">
      <c r="A28" t="s">
        <v>124</v>
      </c>
      <c r="B28" s="35">
        <f>Sheet1!AL29</f>
        <v>3.8616897390338299E-10</v>
      </c>
      <c r="C28" t="s">
        <v>127</v>
      </c>
      <c r="D28" t="s">
        <v>138</v>
      </c>
      <c r="F28" t="s">
        <v>134</v>
      </c>
      <c r="G28" t="s">
        <v>102</v>
      </c>
      <c r="H28" t="s">
        <v>243</v>
      </c>
    </row>
    <row r="29" spans="1:8" x14ac:dyDescent="0.35">
      <c r="A29" t="s">
        <v>157</v>
      </c>
      <c r="B29" s="35">
        <f>Sheet1!AL30</f>
        <v>3.4744697665053399E-12</v>
      </c>
      <c r="C29" t="s">
        <v>127</v>
      </c>
      <c r="D29" t="s">
        <v>138</v>
      </c>
      <c r="F29" t="s">
        <v>134</v>
      </c>
      <c r="G29" t="s">
        <v>103</v>
      </c>
      <c r="H29" t="s">
        <v>243</v>
      </c>
    </row>
    <row r="30" spans="1:8" x14ac:dyDescent="0.35">
      <c r="B30" s="9"/>
    </row>
    <row r="31" spans="1:8" x14ac:dyDescent="0.35">
      <c r="A31" s="35"/>
      <c r="F31" s="35"/>
    </row>
    <row r="32" spans="1:8" x14ac:dyDescent="0.35">
      <c r="A32" s="36" t="s">
        <v>19</v>
      </c>
      <c r="B32" s="35" t="s">
        <v>266</v>
      </c>
    </row>
    <row r="33" spans="1:8" x14ac:dyDescent="0.35">
      <c r="A33" t="s">
        <v>20</v>
      </c>
      <c r="B33" s="35">
        <v>1</v>
      </c>
    </row>
    <row r="34" spans="1:8" x14ac:dyDescent="0.35">
      <c r="A34" t="s">
        <v>21</v>
      </c>
      <c r="B34" s="35" t="s">
        <v>245</v>
      </c>
    </row>
    <row r="35" spans="1:8" x14ac:dyDescent="0.35">
      <c r="A35" t="s">
        <v>22</v>
      </c>
      <c r="B35" s="35" t="s">
        <v>237</v>
      </c>
    </row>
    <row r="36" spans="1:8" x14ac:dyDescent="0.35">
      <c r="A36" t="s">
        <v>23</v>
      </c>
      <c r="B36" s="35" t="s">
        <v>31</v>
      </c>
    </row>
    <row r="37" spans="1:8" x14ac:dyDescent="0.35">
      <c r="A37" t="s">
        <v>24</v>
      </c>
      <c r="B37" s="35" t="s">
        <v>119</v>
      </c>
    </row>
    <row r="38" spans="1:8" x14ac:dyDescent="0.35">
      <c r="A38" t="s">
        <v>25</v>
      </c>
    </row>
    <row r="39" spans="1:8" x14ac:dyDescent="0.35">
      <c r="A39" t="s">
        <v>26</v>
      </c>
      <c r="B39" s="35" t="s">
        <v>27</v>
      </c>
      <c r="C39" t="s">
        <v>23</v>
      </c>
      <c r="D39" t="s">
        <v>24</v>
      </c>
      <c r="E39" t="s">
        <v>28</v>
      </c>
      <c r="F39" t="s">
        <v>29</v>
      </c>
      <c r="G39" t="s">
        <v>22</v>
      </c>
      <c r="H39" t="s">
        <v>21</v>
      </c>
    </row>
    <row r="40" spans="1:8" x14ac:dyDescent="0.35">
      <c r="A40" s="35" t="str">
        <f>B32</f>
        <v>market for electricity, medium voltage M0</v>
      </c>
      <c r="B40" s="35">
        <v>1</v>
      </c>
      <c r="C40" t="s">
        <v>31</v>
      </c>
      <c r="D40" t="s">
        <v>119</v>
      </c>
      <c r="F40" t="s">
        <v>174</v>
      </c>
      <c r="G40" s="35" t="str">
        <f>B35</f>
        <v>electricity, medium voltage</v>
      </c>
    </row>
    <row r="41" spans="1:8" x14ac:dyDescent="0.35">
      <c r="A41" s="35" t="s">
        <v>263</v>
      </c>
      <c r="B41" s="35">
        <f>Sheet1!L38</f>
        <v>1.00670440632908</v>
      </c>
      <c r="C41" t="s">
        <v>31</v>
      </c>
      <c r="D41" t="s">
        <v>119</v>
      </c>
      <c r="F41" t="s">
        <v>134</v>
      </c>
      <c r="G41" s="35" t="s">
        <v>151</v>
      </c>
      <c r="H41" s="35" t="s">
        <v>243</v>
      </c>
    </row>
    <row r="42" spans="1:8" x14ac:dyDescent="0.35">
      <c r="A42" s="35" t="s">
        <v>266</v>
      </c>
      <c r="B42" s="35">
        <f>Sheet1!L39</f>
        <v>4.2098906369769902E-3</v>
      </c>
      <c r="C42" t="s">
        <v>31</v>
      </c>
      <c r="D42" t="s">
        <v>119</v>
      </c>
      <c r="F42" t="s">
        <v>134</v>
      </c>
      <c r="G42" s="35" t="s">
        <v>237</v>
      </c>
      <c r="H42" s="35" t="s">
        <v>243</v>
      </c>
    </row>
    <row r="43" spans="1:8" x14ac:dyDescent="0.35">
      <c r="A43" t="s">
        <v>128</v>
      </c>
      <c r="B43" s="35">
        <f>Sheet1!AL31</f>
        <v>1.86277676887616E-8</v>
      </c>
      <c r="C43" t="s">
        <v>127</v>
      </c>
      <c r="D43" t="s">
        <v>138</v>
      </c>
      <c r="F43" t="s">
        <v>134</v>
      </c>
      <c r="G43" t="s">
        <v>155</v>
      </c>
    </row>
    <row r="44" spans="1:8" x14ac:dyDescent="0.35">
      <c r="A44" t="s">
        <v>126</v>
      </c>
      <c r="B44" s="35">
        <f>Sheet1!Q29</f>
        <v>5.4E-8</v>
      </c>
      <c r="C44" t="s">
        <v>118</v>
      </c>
      <c r="D44" t="s">
        <v>139</v>
      </c>
      <c r="F44" t="s">
        <v>134</v>
      </c>
      <c r="G44" t="s">
        <v>154</v>
      </c>
    </row>
    <row r="47" spans="1:8" x14ac:dyDescent="0.35">
      <c r="A47" s="36" t="s">
        <v>19</v>
      </c>
      <c r="B47" s="35" t="s">
        <v>264</v>
      </c>
    </row>
    <row r="48" spans="1:8" x14ac:dyDescent="0.35">
      <c r="A48" t="s">
        <v>20</v>
      </c>
      <c r="B48" s="35">
        <v>1</v>
      </c>
    </row>
    <row r="49" spans="1:8" x14ac:dyDescent="0.35">
      <c r="A49" t="s">
        <v>21</v>
      </c>
      <c r="B49" s="35" t="s">
        <v>120</v>
      </c>
    </row>
    <row r="50" spans="1:8" x14ac:dyDescent="0.35">
      <c r="A50" t="s">
        <v>22</v>
      </c>
      <c r="B50" s="35" t="s">
        <v>152</v>
      </c>
    </row>
    <row r="51" spans="1:8" x14ac:dyDescent="0.35">
      <c r="A51" t="s">
        <v>23</v>
      </c>
      <c r="B51" s="35" t="s">
        <v>31</v>
      </c>
    </row>
    <row r="52" spans="1:8" x14ac:dyDescent="0.35">
      <c r="A52" t="s">
        <v>24</v>
      </c>
      <c r="B52" s="35" t="s">
        <v>119</v>
      </c>
    </row>
    <row r="53" spans="1:8" x14ac:dyDescent="0.35">
      <c r="A53" t="s">
        <v>25</v>
      </c>
    </row>
    <row r="54" spans="1:8" x14ac:dyDescent="0.35">
      <c r="A54" t="s">
        <v>26</v>
      </c>
      <c r="B54" s="35" t="s">
        <v>27</v>
      </c>
      <c r="C54" t="s">
        <v>23</v>
      </c>
      <c r="D54" t="s">
        <v>24</v>
      </c>
      <c r="E54" t="s">
        <v>28</v>
      </c>
      <c r="F54" t="s">
        <v>29</v>
      </c>
      <c r="G54" t="s">
        <v>22</v>
      </c>
      <c r="H54" t="s">
        <v>21</v>
      </c>
    </row>
    <row r="55" spans="1:8" x14ac:dyDescent="0.35">
      <c r="A55" s="35" t="str">
        <f>B47</f>
        <v>market for electricity, low voltage M0</v>
      </c>
      <c r="B55" s="35">
        <v>1</v>
      </c>
      <c r="C55" t="s">
        <v>31</v>
      </c>
      <c r="D55" t="s">
        <v>119</v>
      </c>
      <c r="F55" t="s">
        <v>174</v>
      </c>
      <c r="G55" s="35" t="str">
        <f>B50</f>
        <v>electricity, low voltage</v>
      </c>
    </row>
    <row r="56" spans="1:8" x14ac:dyDescent="0.35">
      <c r="A56" s="35" t="s">
        <v>266</v>
      </c>
      <c r="B56" s="35">
        <f>Sheet1!L40</f>
        <v>1.03093659171436</v>
      </c>
      <c r="C56" t="s">
        <v>31</v>
      </c>
      <c r="D56" t="s">
        <v>119</v>
      </c>
      <c r="F56" t="s">
        <v>134</v>
      </c>
      <c r="G56" s="35" t="s">
        <v>237</v>
      </c>
      <c r="H56" s="35" t="s">
        <v>243</v>
      </c>
    </row>
    <row r="57" spans="1:8" s="35" customFormat="1" x14ac:dyDescent="0.35">
      <c r="A57" s="35" t="s">
        <v>264</v>
      </c>
      <c r="B57" s="35">
        <f>Sheet1!L41</f>
        <v>3.0698133930844199E-2</v>
      </c>
      <c r="C57" t="s">
        <v>31</v>
      </c>
      <c r="D57" t="s">
        <v>119</v>
      </c>
      <c r="E57"/>
      <c r="F57" t="s">
        <v>134</v>
      </c>
      <c r="G57" t="s">
        <v>152</v>
      </c>
      <c r="H57" s="35" t="s">
        <v>243</v>
      </c>
    </row>
    <row r="58" spans="1:8" x14ac:dyDescent="0.35">
      <c r="A58" t="s">
        <v>129</v>
      </c>
      <c r="B58" s="35">
        <f>Sheet1!AL32</f>
        <v>8.7404880965322298E-8</v>
      </c>
      <c r="C58" t="s">
        <v>127</v>
      </c>
      <c r="D58" t="s">
        <v>138</v>
      </c>
      <c r="F58" t="s">
        <v>134</v>
      </c>
      <c r="G58" t="s">
        <v>153</v>
      </c>
    </row>
    <row r="61" spans="1:8" x14ac:dyDescent="0.35">
      <c r="A61" s="36" t="s">
        <v>19</v>
      </c>
      <c r="B61" s="35" t="s">
        <v>267</v>
      </c>
    </row>
    <row r="62" spans="1:8" x14ac:dyDescent="0.35">
      <c r="A62" t="s">
        <v>20</v>
      </c>
      <c r="B62" s="35">
        <v>1</v>
      </c>
    </row>
    <row r="63" spans="1:8" x14ac:dyDescent="0.35">
      <c r="A63" t="s">
        <v>21</v>
      </c>
      <c r="B63" s="35" t="s">
        <v>340</v>
      </c>
    </row>
    <row r="64" spans="1:8" x14ac:dyDescent="0.35">
      <c r="A64" t="s">
        <v>22</v>
      </c>
      <c r="B64" s="35" t="s">
        <v>151</v>
      </c>
    </row>
    <row r="65" spans="1:8" x14ac:dyDescent="0.35">
      <c r="A65" t="s">
        <v>23</v>
      </c>
      <c r="B65" s="35" t="s">
        <v>31</v>
      </c>
    </row>
    <row r="66" spans="1:8" x14ac:dyDescent="0.35">
      <c r="A66" t="s">
        <v>24</v>
      </c>
      <c r="B66" s="35" t="s">
        <v>119</v>
      </c>
    </row>
    <row r="67" spans="1:8" x14ac:dyDescent="0.35">
      <c r="A67" t="s">
        <v>25</v>
      </c>
    </row>
    <row r="68" spans="1:8" x14ac:dyDescent="0.35">
      <c r="A68" t="s">
        <v>26</v>
      </c>
      <c r="B68" s="35" t="s">
        <v>27</v>
      </c>
      <c r="C68" t="s">
        <v>23</v>
      </c>
      <c r="D68" t="s">
        <v>24</v>
      </c>
      <c r="E68" t="s">
        <v>28</v>
      </c>
      <c r="F68" t="s">
        <v>29</v>
      </c>
      <c r="G68" t="s">
        <v>22</v>
      </c>
      <c r="H68" t="s">
        <v>21</v>
      </c>
    </row>
    <row r="69" spans="1:8" x14ac:dyDescent="0.35">
      <c r="A69" s="35" t="str">
        <f>B61</f>
        <v>market for electricity, high voltage M1</v>
      </c>
      <c r="B69" s="35">
        <v>1</v>
      </c>
      <c r="C69" t="s">
        <v>31</v>
      </c>
      <c r="D69" t="s">
        <v>119</v>
      </c>
      <c r="F69" t="s">
        <v>174</v>
      </c>
      <c r="G69" s="35" t="str">
        <f>B9</f>
        <v>electricity, high voltage</v>
      </c>
    </row>
    <row r="70" spans="1:8" x14ac:dyDescent="0.35">
      <c r="A70" s="35" t="s">
        <v>267</v>
      </c>
      <c r="B70" s="35">
        <f>Sheet1!L37</f>
        <v>3.1242684515255099E-2</v>
      </c>
      <c r="C70" t="s">
        <v>31</v>
      </c>
      <c r="D70" t="s">
        <v>119</v>
      </c>
      <c r="F70" t="s">
        <v>134</v>
      </c>
      <c r="G70" t="s">
        <v>151</v>
      </c>
      <c r="H70" t="s">
        <v>244</v>
      </c>
    </row>
    <row r="71" spans="1:8" x14ac:dyDescent="0.35">
      <c r="A71" t="s">
        <v>132</v>
      </c>
      <c r="B71" s="35">
        <f>Nuclear!E4</f>
        <v>0.1140338899585063</v>
      </c>
      <c r="C71" t="s">
        <v>31</v>
      </c>
      <c r="D71" t="s">
        <v>119</v>
      </c>
      <c r="F71" t="s">
        <v>134</v>
      </c>
      <c r="G71" t="s">
        <v>151</v>
      </c>
    </row>
    <row r="72" spans="1:8" x14ac:dyDescent="0.35">
      <c r="A72" t="s">
        <v>91</v>
      </c>
      <c r="B72" s="35">
        <f>hydro!H13</f>
        <v>1.2632695768978248E-2</v>
      </c>
      <c r="C72" t="s">
        <v>31</v>
      </c>
      <c r="D72" t="s">
        <v>119</v>
      </c>
      <c r="F72" t="s">
        <v>134</v>
      </c>
      <c r="G72" t="s">
        <v>151</v>
      </c>
    </row>
    <row r="73" spans="1:8" x14ac:dyDescent="0.35">
      <c r="A73" t="s">
        <v>92</v>
      </c>
      <c r="B73" s="35">
        <f>hydro!H14</f>
        <v>6.632351469843295E-2</v>
      </c>
      <c r="C73" t="s">
        <v>31</v>
      </c>
      <c r="D73" t="s">
        <v>119</v>
      </c>
      <c r="F73" t="s">
        <v>134</v>
      </c>
      <c r="G73" t="s">
        <v>151</v>
      </c>
    </row>
    <row r="74" spans="1:8" x14ac:dyDescent="0.35">
      <c r="A74" t="s">
        <v>97</v>
      </c>
      <c r="B74" s="35">
        <f>Wind!H13</f>
        <v>0.13968301468511701</v>
      </c>
      <c r="C74" t="s">
        <v>31</v>
      </c>
      <c r="D74" t="s">
        <v>119</v>
      </c>
      <c r="F74" t="s">
        <v>134</v>
      </c>
      <c r="G74" t="s">
        <v>151</v>
      </c>
    </row>
    <row r="75" spans="1:8" x14ac:dyDescent="0.35">
      <c r="A75" s="9" t="s">
        <v>131</v>
      </c>
      <c r="B75" s="35">
        <f>Wind!H14</f>
        <v>8.9772342697695268E-3</v>
      </c>
      <c r="C75" t="s">
        <v>31</v>
      </c>
      <c r="D75" t="s">
        <v>119</v>
      </c>
      <c r="F75" t="s">
        <v>134</v>
      </c>
      <c r="G75" t="s">
        <v>151</v>
      </c>
    </row>
    <row r="76" spans="1:8" x14ac:dyDescent="0.35">
      <c r="A76" t="s">
        <v>123</v>
      </c>
      <c r="B76" s="35">
        <f>Wind!H15</f>
        <v>5.770469445037274E-4</v>
      </c>
      <c r="C76" t="s">
        <v>31</v>
      </c>
      <c r="D76" t="s">
        <v>119</v>
      </c>
      <c r="F76" t="s">
        <v>134</v>
      </c>
      <c r="G76" t="s">
        <v>151</v>
      </c>
    </row>
    <row r="77" spans="1:8" x14ac:dyDescent="0.35">
      <c r="A77" t="s">
        <v>96</v>
      </c>
      <c r="B77" s="35">
        <f>Wind!H26</f>
        <v>8.2540751801817316E-2</v>
      </c>
      <c r="C77" t="s">
        <v>31</v>
      </c>
      <c r="D77" t="s">
        <v>119</v>
      </c>
      <c r="F77" t="s">
        <v>134</v>
      </c>
      <c r="G77" t="s">
        <v>151</v>
      </c>
    </row>
    <row r="78" spans="1:8" x14ac:dyDescent="0.35">
      <c r="A78" t="s">
        <v>96</v>
      </c>
      <c r="B78" s="35">
        <f>Wind!H27</f>
        <v>0.12163900265530973</v>
      </c>
      <c r="C78" t="s">
        <v>31</v>
      </c>
      <c r="D78" t="s">
        <v>119</v>
      </c>
      <c r="F78" t="s">
        <v>134</v>
      </c>
      <c r="G78" t="s">
        <v>151</v>
      </c>
      <c r="H78" t="s">
        <v>162</v>
      </c>
    </row>
    <row r="79" spans="1:8" x14ac:dyDescent="0.35">
      <c r="A79" s="10" t="s">
        <v>136</v>
      </c>
      <c r="B79" s="35">
        <f>Biogas!F7</f>
        <v>1.2321192079309392E-2</v>
      </c>
      <c r="C79" t="s">
        <v>31</v>
      </c>
      <c r="D79" t="s">
        <v>119</v>
      </c>
      <c r="F79" t="s">
        <v>134</v>
      </c>
      <c r="G79" t="s">
        <v>151</v>
      </c>
    </row>
    <row r="80" spans="1:8" x14ac:dyDescent="0.35">
      <c r="A80" t="s">
        <v>268</v>
      </c>
      <c r="B80" s="35">
        <f>Sheet1!AJ28*2</f>
        <v>0.1408136237635359</v>
      </c>
      <c r="C80" t="s">
        <v>31</v>
      </c>
      <c r="D80" t="s">
        <v>119</v>
      </c>
      <c r="F80" t="s">
        <v>134</v>
      </c>
      <c r="G80" t="s">
        <v>151</v>
      </c>
      <c r="H80" t="s">
        <v>339</v>
      </c>
    </row>
    <row r="81" spans="1:8" x14ac:dyDescent="0.35">
      <c r="A81" t="s">
        <v>94</v>
      </c>
      <c r="B81" s="35">
        <f>Sheet1!X28</f>
        <v>0.32047672051183307</v>
      </c>
      <c r="C81" t="s">
        <v>31</v>
      </c>
      <c r="D81" t="s">
        <v>119</v>
      </c>
      <c r="F81" t="s">
        <v>134</v>
      </c>
      <c r="G81" t="s">
        <v>152</v>
      </c>
    </row>
    <row r="82" spans="1:8" x14ac:dyDescent="0.35">
      <c r="A82" s="35" t="s">
        <v>269</v>
      </c>
      <c r="B82" s="35">
        <f>Sheet1!AI28</f>
        <v>5.0388124744654775E-2</v>
      </c>
      <c r="C82" t="s">
        <v>118</v>
      </c>
      <c r="D82" t="s">
        <v>119</v>
      </c>
      <c r="F82" t="s">
        <v>134</v>
      </c>
      <c r="G82" t="s">
        <v>151</v>
      </c>
    </row>
    <row r="83" spans="1:8" x14ac:dyDescent="0.35">
      <c r="A83" t="s">
        <v>125</v>
      </c>
      <c r="B83" s="35">
        <f>Sheet1!AL28</f>
        <v>5.65463552361011E-9</v>
      </c>
      <c r="C83" t="s">
        <v>127</v>
      </c>
      <c r="D83" t="s">
        <v>138</v>
      </c>
      <c r="F83" t="s">
        <v>134</v>
      </c>
      <c r="G83" t="s">
        <v>101</v>
      </c>
      <c r="H83" t="s">
        <v>243</v>
      </c>
    </row>
    <row r="84" spans="1:8" x14ac:dyDescent="0.35">
      <c r="A84" t="s">
        <v>124</v>
      </c>
      <c r="B84" s="35">
        <f>Sheet1!AL29</f>
        <v>3.8616897390338299E-10</v>
      </c>
      <c r="C84" t="s">
        <v>127</v>
      </c>
      <c r="D84" t="s">
        <v>138</v>
      </c>
      <c r="F84" t="s">
        <v>134</v>
      </c>
      <c r="G84" t="s">
        <v>102</v>
      </c>
      <c r="H84" t="s">
        <v>243</v>
      </c>
    </row>
    <row r="85" spans="1:8" x14ac:dyDescent="0.35">
      <c r="A85" t="s">
        <v>157</v>
      </c>
      <c r="B85" s="35">
        <f>Sheet1!AL30</f>
        <v>3.4744697665053399E-12</v>
      </c>
      <c r="C85" t="s">
        <v>127</v>
      </c>
      <c r="D85" t="s">
        <v>138</v>
      </c>
      <c r="F85" t="s">
        <v>134</v>
      </c>
      <c r="G85" t="s">
        <v>103</v>
      </c>
      <c r="H85" t="s">
        <v>243</v>
      </c>
    </row>
    <row r="87" spans="1:8" x14ac:dyDescent="0.35">
      <c r="A87" s="35"/>
      <c r="F87" s="35"/>
    </row>
    <row r="88" spans="1:8" x14ac:dyDescent="0.35">
      <c r="A88" s="36" t="s">
        <v>19</v>
      </c>
      <c r="B88" s="35" t="s">
        <v>270</v>
      </c>
    </row>
    <row r="89" spans="1:8" x14ac:dyDescent="0.35">
      <c r="A89" t="s">
        <v>20</v>
      </c>
      <c r="B89" s="35">
        <v>1</v>
      </c>
    </row>
    <row r="90" spans="1:8" x14ac:dyDescent="0.35">
      <c r="A90" t="s">
        <v>21</v>
      </c>
      <c r="B90" s="35" t="s">
        <v>245</v>
      </c>
    </row>
    <row r="91" spans="1:8" x14ac:dyDescent="0.35">
      <c r="A91" t="s">
        <v>22</v>
      </c>
      <c r="B91" s="35" t="s">
        <v>237</v>
      </c>
    </row>
    <row r="92" spans="1:8" x14ac:dyDescent="0.35">
      <c r="A92" t="s">
        <v>23</v>
      </c>
      <c r="B92" s="35" t="s">
        <v>31</v>
      </c>
    </row>
    <row r="93" spans="1:8" x14ac:dyDescent="0.35">
      <c r="A93" t="s">
        <v>24</v>
      </c>
      <c r="B93" s="35" t="s">
        <v>119</v>
      </c>
    </row>
    <row r="94" spans="1:8" x14ac:dyDescent="0.35">
      <c r="A94" t="s">
        <v>25</v>
      </c>
    </row>
    <row r="95" spans="1:8" x14ac:dyDescent="0.35">
      <c r="A95" t="s">
        <v>26</v>
      </c>
      <c r="B95" s="35" t="s">
        <v>27</v>
      </c>
      <c r="C95" t="s">
        <v>23</v>
      </c>
      <c r="D95" t="s">
        <v>24</v>
      </c>
      <c r="E95" t="s">
        <v>28</v>
      </c>
      <c r="F95" t="s">
        <v>29</v>
      </c>
      <c r="G95" t="s">
        <v>22</v>
      </c>
      <c r="H95" t="s">
        <v>21</v>
      </c>
    </row>
    <row r="96" spans="1:8" x14ac:dyDescent="0.35">
      <c r="A96" s="35" t="str">
        <f>B88</f>
        <v>market for electricity, medium voltage M1</v>
      </c>
      <c r="B96" s="35">
        <v>1</v>
      </c>
      <c r="C96" t="s">
        <v>31</v>
      </c>
      <c r="D96" t="s">
        <v>119</v>
      </c>
      <c r="F96" t="s">
        <v>174</v>
      </c>
      <c r="G96" s="35" t="str">
        <f>B35</f>
        <v>electricity, medium voltage</v>
      </c>
    </row>
    <row r="97" spans="1:8" x14ac:dyDescent="0.35">
      <c r="A97" s="35" t="s">
        <v>267</v>
      </c>
      <c r="B97" s="35">
        <f>Sheet1!L38</f>
        <v>1.00670440632908</v>
      </c>
      <c r="C97" t="s">
        <v>31</v>
      </c>
      <c r="D97" t="s">
        <v>119</v>
      </c>
      <c r="F97" t="s">
        <v>134</v>
      </c>
      <c r="G97" s="35" t="s">
        <v>151</v>
      </c>
      <c r="H97" s="35" t="s">
        <v>243</v>
      </c>
    </row>
    <row r="98" spans="1:8" x14ac:dyDescent="0.35">
      <c r="A98" s="35" t="s">
        <v>270</v>
      </c>
      <c r="B98" s="35">
        <f>Sheet1!L39</f>
        <v>4.2098906369769902E-3</v>
      </c>
      <c r="C98" t="s">
        <v>31</v>
      </c>
      <c r="D98" t="s">
        <v>119</v>
      </c>
      <c r="F98" t="s">
        <v>134</v>
      </c>
      <c r="G98" s="35" t="s">
        <v>237</v>
      </c>
      <c r="H98" s="35" t="s">
        <v>243</v>
      </c>
    </row>
    <row r="99" spans="1:8" x14ac:dyDescent="0.35">
      <c r="A99" t="s">
        <v>128</v>
      </c>
      <c r="B99" s="35">
        <f>Sheet1!AL31</f>
        <v>1.86277676887616E-8</v>
      </c>
      <c r="C99" t="s">
        <v>127</v>
      </c>
      <c r="D99" t="s">
        <v>138</v>
      </c>
      <c r="F99" t="s">
        <v>134</v>
      </c>
      <c r="G99" t="s">
        <v>155</v>
      </c>
    </row>
    <row r="100" spans="1:8" x14ac:dyDescent="0.35">
      <c r="A100" t="s">
        <v>126</v>
      </c>
      <c r="B100" s="35">
        <f>Sheet1!Q29</f>
        <v>5.4E-8</v>
      </c>
      <c r="C100" t="s">
        <v>118</v>
      </c>
      <c r="D100" t="s">
        <v>139</v>
      </c>
      <c r="F100" t="s">
        <v>134</v>
      </c>
      <c r="G100" t="s">
        <v>154</v>
      </c>
    </row>
    <row r="103" spans="1:8" x14ac:dyDescent="0.35">
      <c r="A103" s="36" t="s">
        <v>19</v>
      </c>
      <c r="B103" s="35" t="s">
        <v>268</v>
      </c>
    </row>
    <row r="104" spans="1:8" x14ac:dyDescent="0.35">
      <c r="A104" t="s">
        <v>20</v>
      </c>
      <c r="B104" s="35">
        <v>1</v>
      </c>
    </row>
    <row r="105" spans="1:8" x14ac:dyDescent="0.35">
      <c r="A105" t="s">
        <v>21</v>
      </c>
      <c r="B105" s="35" t="s">
        <v>120</v>
      </c>
    </row>
    <row r="106" spans="1:8" x14ac:dyDescent="0.35">
      <c r="A106" t="s">
        <v>22</v>
      </c>
      <c r="B106" s="35" t="s">
        <v>152</v>
      </c>
    </row>
    <row r="107" spans="1:8" x14ac:dyDescent="0.35">
      <c r="A107" t="s">
        <v>23</v>
      </c>
      <c r="B107" s="35" t="s">
        <v>31</v>
      </c>
    </row>
    <row r="108" spans="1:8" x14ac:dyDescent="0.35">
      <c r="A108" t="s">
        <v>24</v>
      </c>
      <c r="B108" s="35" t="s">
        <v>119</v>
      </c>
    </row>
    <row r="109" spans="1:8" x14ac:dyDescent="0.35">
      <c r="A109" t="s">
        <v>25</v>
      </c>
    </row>
    <row r="110" spans="1:8" x14ac:dyDescent="0.35">
      <c r="A110" t="s">
        <v>26</v>
      </c>
      <c r="B110" s="35" t="s">
        <v>27</v>
      </c>
      <c r="C110" t="s">
        <v>23</v>
      </c>
      <c r="D110" t="s">
        <v>24</v>
      </c>
      <c r="E110" t="s">
        <v>28</v>
      </c>
      <c r="F110" t="s">
        <v>29</v>
      </c>
      <c r="G110" t="s">
        <v>22</v>
      </c>
      <c r="H110" t="s">
        <v>21</v>
      </c>
    </row>
    <row r="111" spans="1:8" x14ac:dyDescent="0.35">
      <c r="A111" s="35" t="str">
        <f>B103</f>
        <v>market for electricity, low voltage M1</v>
      </c>
      <c r="B111" s="35">
        <v>1</v>
      </c>
      <c r="C111" t="s">
        <v>31</v>
      </c>
      <c r="D111" t="s">
        <v>119</v>
      </c>
      <c r="F111" t="s">
        <v>174</v>
      </c>
      <c r="G111" s="35" t="str">
        <f>B50</f>
        <v>electricity, low voltage</v>
      </c>
    </row>
    <row r="112" spans="1:8" x14ac:dyDescent="0.35">
      <c r="A112" s="35" t="s">
        <v>270</v>
      </c>
      <c r="B112" s="35">
        <f>Sheet1!L40</f>
        <v>1.03093659171436</v>
      </c>
      <c r="C112" t="s">
        <v>31</v>
      </c>
      <c r="D112" t="s">
        <v>119</v>
      </c>
      <c r="F112" t="s">
        <v>134</v>
      </c>
      <c r="G112" s="35" t="s">
        <v>237</v>
      </c>
      <c r="H112" s="35" t="s">
        <v>243</v>
      </c>
    </row>
    <row r="113" spans="1:8" s="35" customFormat="1" x14ac:dyDescent="0.35">
      <c r="A113" s="35" t="s">
        <v>268</v>
      </c>
      <c r="B113" s="35">
        <f>Sheet1!L41</f>
        <v>3.0698133930844199E-2</v>
      </c>
      <c r="C113" t="s">
        <v>31</v>
      </c>
      <c r="D113" t="s">
        <v>119</v>
      </c>
      <c r="E113"/>
      <c r="F113" t="s">
        <v>134</v>
      </c>
      <c r="G113" t="s">
        <v>152</v>
      </c>
      <c r="H113" s="35" t="s">
        <v>243</v>
      </c>
    </row>
    <row r="114" spans="1:8" x14ac:dyDescent="0.35">
      <c r="A114" t="s">
        <v>129</v>
      </c>
      <c r="B114" s="35">
        <f>Sheet1!AL32</f>
        <v>8.7404880965322298E-8</v>
      </c>
      <c r="C114" t="s">
        <v>127</v>
      </c>
      <c r="D114" t="s">
        <v>138</v>
      </c>
      <c r="F114" t="s">
        <v>134</v>
      </c>
      <c r="G114" t="s">
        <v>153</v>
      </c>
    </row>
    <row r="117" spans="1:8" x14ac:dyDescent="0.35">
      <c r="A117" s="36" t="s">
        <v>19</v>
      </c>
      <c r="B117" s="35" t="s">
        <v>271</v>
      </c>
    </row>
    <row r="118" spans="1:8" x14ac:dyDescent="0.35">
      <c r="A118" t="s">
        <v>20</v>
      </c>
      <c r="B118" s="35">
        <v>1</v>
      </c>
    </row>
    <row r="119" spans="1:8" x14ac:dyDescent="0.35">
      <c r="A119" t="s">
        <v>21</v>
      </c>
      <c r="B119" s="35" t="s">
        <v>341</v>
      </c>
    </row>
    <row r="120" spans="1:8" x14ac:dyDescent="0.35">
      <c r="A120" t="s">
        <v>22</v>
      </c>
      <c r="B120" s="35" t="s">
        <v>151</v>
      </c>
    </row>
    <row r="121" spans="1:8" x14ac:dyDescent="0.35">
      <c r="A121" t="s">
        <v>23</v>
      </c>
      <c r="B121" s="35" t="s">
        <v>31</v>
      </c>
    </row>
    <row r="122" spans="1:8" x14ac:dyDescent="0.35">
      <c r="A122" t="s">
        <v>24</v>
      </c>
      <c r="B122" s="35" t="s">
        <v>119</v>
      </c>
    </row>
    <row r="123" spans="1:8" x14ac:dyDescent="0.35">
      <c r="A123" t="s">
        <v>25</v>
      </c>
    </row>
    <row r="124" spans="1:8" x14ac:dyDescent="0.35">
      <c r="A124" t="s">
        <v>26</v>
      </c>
      <c r="B124" s="35" t="s">
        <v>27</v>
      </c>
      <c r="C124" t="s">
        <v>23</v>
      </c>
      <c r="D124" t="s">
        <v>24</v>
      </c>
      <c r="E124" t="s">
        <v>28</v>
      </c>
      <c r="F124" t="s">
        <v>29</v>
      </c>
      <c r="G124" t="s">
        <v>22</v>
      </c>
      <c r="H124" t="s">
        <v>21</v>
      </c>
    </row>
    <row r="125" spans="1:8" x14ac:dyDescent="0.35">
      <c r="A125" s="35" t="str">
        <f>B117</f>
        <v>market for electricity, high voltage M23</v>
      </c>
      <c r="B125" s="35">
        <v>1</v>
      </c>
      <c r="C125" t="s">
        <v>31</v>
      </c>
      <c r="D125" t="s">
        <v>119</v>
      </c>
      <c r="F125" t="s">
        <v>174</v>
      </c>
      <c r="G125" s="35" t="str">
        <f>B9</f>
        <v>electricity, high voltage</v>
      </c>
    </row>
    <row r="126" spans="1:8" x14ac:dyDescent="0.35">
      <c r="A126" s="35" t="s">
        <v>271</v>
      </c>
      <c r="B126" s="35">
        <f>Sheet1!L37</f>
        <v>3.1242684515255099E-2</v>
      </c>
      <c r="C126" t="s">
        <v>31</v>
      </c>
      <c r="D126" t="s">
        <v>119</v>
      </c>
      <c r="F126" t="s">
        <v>134</v>
      </c>
      <c r="G126" t="s">
        <v>151</v>
      </c>
      <c r="H126" t="s">
        <v>244</v>
      </c>
    </row>
    <row r="127" spans="1:8" x14ac:dyDescent="0.35">
      <c r="A127" t="s">
        <v>132</v>
      </c>
      <c r="B127" s="35">
        <f>Nuclear!E5</f>
        <v>0.11994832564093739</v>
      </c>
      <c r="C127" t="s">
        <v>31</v>
      </c>
      <c r="D127" t="s">
        <v>119</v>
      </c>
      <c r="F127" t="s">
        <v>134</v>
      </c>
      <c r="G127" t="s">
        <v>151</v>
      </c>
    </row>
    <row r="128" spans="1:8" x14ac:dyDescent="0.35">
      <c r="A128" t="s">
        <v>91</v>
      </c>
      <c r="B128" s="35">
        <f>hydro!I13</f>
        <v>1.3208487668703665E-2</v>
      </c>
      <c r="C128" t="s">
        <v>31</v>
      </c>
      <c r="D128" t="s">
        <v>119</v>
      </c>
      <c r="F128" t="s">
        <v>134</v>
      </c>
      <c r="G128" t="s">
        <v>151</v>
      </c>
    </row>
    <row r="129" spans="1:8" x14ac:dyDescent="0.35">
      <c r="A129" t="s">
        <v>92</v>
      </c>
      <c r="B129" s="35">
        <f>hydro!I14</f>
        <v>6.9346507036968943E-2</v>
      </c>
      <c r="C129" t="s">
        <v>31</v>
      </c>
      <c r="D129" t="s">
        <v>119</v>
      </c>
      <c r="F129" t="s">
        <v>134</v>
      </c>
      <c r="G129" t="s">
        <v>151</v>
      </c>
    </row>
    <row r="130" spans="1:8" x14ac:dyDescent="0.35">
      <c r="A130" t="s">
        <v>97</v>
      </c>
      <c r="B130" s="35">
        <f>Wind!I13</f>
        <v>0.17906374187240728</v>
      </c>
      <c r="C130" t="s">
        <v>31</v>
      </c>
      <c r="D130" t="s">
        <v>119</v>
      </c>
      <c r="F130" t="s">
        <v>134</v>
      </c>
      <c r="G130" t="s">
        <v>151</v>
      </c>
    </row>
    <row r="131" spans="1:8" x14ac:dyDescent="0.35">
      <c r="A131" s="9" t="s">
        <v>131</v>
      </c>
      <c r="B131" s="35">
        <f>Wind!I14</f>
        <v>1.1508179170057784E-2</v>
      </c>
      <c r="C131" t="s">
        <v>31</v>
      </c>
      <c r="D131" t="s">
        <v>119</v>
      </c>
      <c r="F131" t="s">
        <v>134</v>
      </c>
      <c r="G131" t="s">
        <v>151</v>
      </c>
    </row>
    <row r="132" spans="1:8" x14ac:dyDescent="0.35">
      <c r="A132" t="s">
        <v>123</v>
      </c>
      <c r="B132" s="35">
        <f>Wind!I15</f>
        <v>7.3973335521005355E-4</v>
      </c>
      <c r="C132" t="s">
        <v>31</v>
      </c>
      <c r="D132" t="s">
        <v>119</v>
      </c>
      <c r="F132" t="s">
        <v>134</v>
      </c>
      <c r="G132" t="s">
        <v>151</v>
      </c>
    </row>
    <row r="133" spans="1:8" x14ac:dyDescent="0.35">
      <c r="A133" t="s">
        <v>96</v>
      </c>
      <c r="B133" s="35">
        <f>Wind!I26</f>
        <v>0.11249139490222597</v>
      </c>
      <c r="C133" t="s">
        <v>31</v>
      </c>
      <c r="D133" t="s">
        <v>119</v>
      </c>
      <c r="F133" t="s">
        <v>134</v>
      </c>
      <c r="G133" t="s">
        <v>151</v>
      </c>
    </row>
    <row r="134" spans="1:8" x14ac:dyDescent="0.35">
      <c r="A134" t="s">
        <v>96</v>
      </c>
      <c r="B134" s="35">
        <f>Wind!I27</f>
        <v>0.17098692025138348</v>
      </c>
      <c r="C134" t="s">
        <v>31</v>
      </c>
      <c r="D134" t="s">
        <v>119</v>
      </c>
      <c r="F134" t="s">
        <v>134</v>
      </c>
      <c r="G134" t="s">
        <v>151</v>
      </c>
      <c r="H134" t="s">
        <v>162</v>
      </c>
    </row>
    <row r="135" spans="1:8" x14ac:dyDescent="0.35">
      <c r="A135" s="10" t="s">
        <v>136</v>
      </c>
      <c r="B135" s="35">
        <f>Biogas!F8</f>
        <v>1.2903332505830808E-2</v>
      </c>
      <c r="C135" t="s">
        <v>31</v>
      </c>
      <c r="D135" t="s">
        <v>119</v>
      </c>
      <c r="F135" t="s">
        <v>134</v>
      </c>
      <c r="G135" t="s">
        <v>151</v>
      </c>
    </row>
    <row r="136" spans="1:8" x14ac:dyDescent="0.35">
      <c r="A136" t="s">
        <v>272</v>
      </c>
      <c r="B136" s="35">
        <f>Sheet1!AJ29*2</f>
        <v>0.1292966583747536</v>
      </c>
      <c r="C136" t="s">
        <v>31</v>
      </c>
      <c r="D136" t="s">
        <v>119</v>
      </c>
      <c r="F136" t="s">
        <v>134</v>
      </c>
      <c r="G136" t="s">
        <v>151</v>
      </c>
      <c r="H136" t="s">
        <v>342</v>
      </c>
    </row>
    <row r="137" spans="1:8" x14ac:dyDescent="0.35">
      <c r="A137" t="s">
        <v>94</v>
      </c>
      <c r="B137" s="35">
        <f>Sheet1!X29</f>
        <v>0.2014499870808279</v>
      </c>
      <c r="C137" t="s">
        <v>31</v>
      </c>
      <c r="D137" t="s">
        <v>119</v>
      </c>
      <c r="F137" t="s">
        <v>134</v>
      </c>
      <c r="G137" t="s">
        <v>152</v>
      </c>
    </row>
    <row r="138" spans="1:8" x14ac:dyDescent="0.35">
      <c r="A138" s="35" t="s">
        <v>273</v>
      </c>
      <c r="B138" s="35">
        <f>Sheet1!AI29</f>
        <v>4.3705061328069929E-2</v>
      </c>
      <c r="C138" t="s">
        <v>118</v>
      </c>
      <c r="D138" t="s">
        <v>119</v>
      </c>
      <c r="F138" t="s">
        <v>134</v>
      </c>
      <c r="G138" t="s">
        <v>151</v>
      </c>
    </row>
    <row r="139" spans="1:8" x14ac:dyDescent="0.35">
      <c r="A139" t="s">
        <v>125</v>
      </c>
      <c r="B139" s="35">
        <f>Sheet1!AL28</f>
        <v>5.65463552361011E-9</v>
      </c>
      <c r="C139" t="s">
        <v>127</v>
      </c>
      <c r="D139" t="s">
        <v>138</v>
      </c>
      <c r="F139" t="s">
        <v>134</v>
      </c>
      <c r="G139" t="s">
        <v>101</v>
      </c>
      <c r="H139" t="s">
        <v>243</v>
      </c>
    </row>
    <row r="140" spans="1:8" x14ac:dyDescent="0.35">
      <c r="A140" t="s">
        <v>124</v>
      </c>
      <c r="B140" s="35">
        <f>Sheet1!AL29</f>
        <v>3.8616897390338299E-10</v>
      </c>
      <c r="C140" t="s">
        <v>127</v>
      </c>
      <c r="D140" t="s">
        <v>138</v>
      </c>
      <c r="F140" t="s">
        <v>134</v>
      </c>
      <c r="G140" t="s">
        <v>102</v>
      </c>
      <c r="H140" t="s">
        <v>243</v>
      </c>
    </row>
    <row r="141" spans="1:8" x14ac:dyDescent="0.35">
      <c r="A141" t="s">
        <v>157</v>
      </c>
      <c r="B141" s="35">
        <f>Sheet1!AL30</f>
        <v>3.4744697665053399E-12</v>
      </c>
      <c r="C141" t="s">
        <v>127</v>
      </c>
      <c r="D141" t="s">
        <v>138</v>
      </c>
      <c r="F141" t="s">
        <v>134</v>
      </c>
      <c r="G141" t="s">
        <v>103</v>
      </c>
      <c r="H141" t="s">
        <v>243</v>
      </c>
    </row>
    <row r="143" spans="1:8" x14ac:dyDescent="0.35">
      <c r="A143" s="35"/>
      <c r="F143" s="35"/>
    </row>
    <row r="144" spans="1:8" x14ac:dyDescent="0.35">
      <c r="A144" s="36" t="s">
        <v>19</v>
      </c>
      <c r="B144" s="35" t="s">
        <v>274</v>
      </c>
    </row>
    <row r="145" spans="1:8" x14ac:dyDescent="0.35">
      <c r="A145" t="s">
        <v>20</v>
      </c>
      <c r="B145" s="35">
        <v>1</v>
      </c>
    </row>
    <row r="146" spans="1:8" x14ac:dyDescent="0.35">
      <c r="A146" t="s">
        <v>21</v>
      </c>
      <c r="B146" s="35" t="s">
        <v>245</v>
      </c>
    </row>
    <row r="147" spans="1:8" x14ac:dyDescent="0.35">
      <c r="A147" t="s">
        <v>22</v>
      </c>
      <c r="B147" s="35" t="s">
        <v>237</v>
      </c>
    </row>
    <row r="148" spans="1:8" x14ac:dyDescent="0.35">
      <c r="A148" t="s">
        <v>23</v>
      </c>
      <c r="B148" s="35" t="s">
        <v>31</v>
      </c>
    </row>
    <row r="149" spans="1:8" x14ac:dyDescent="0.35">
      <c r="A149" t="s">
        <v>24</v>
      </c>
      <c r="B149" s="35" t="s">
        <v>119</v>
      </c>
    </row>
    <row r="150" spans="1:8" x14ac:dyDescent="0.35">
      <c r="A150" t="s">
        <v>25</v>
      </c>
    </row>
    <row r="151" spans="1:8" x14ac:dyDescent="0.35">
      <c r="A151" t="s">
        <v>26</v>
      </c>
      <c r="B151" s="35" t="s">
        <v>27</v>
      </c>
      <c r="C151" t="s">
        <v>23</v>
      </c>
      <c r="D151" t="s">
        <v>24</v>
      </c>
      <c r="E151" t="s">
        <v>28</v>
      </c>
      <c r="F151" t="s">
        <v>29</v>
      </c>
      <c r="G151" t="s">
        <v>22</v>
      </c>
      <c r="H151" t="s">
        <v>21</v>
      </c>
    </row>
    <row r="152" spans="1:8" x14ac:dyDescent="0.35">
      <c r="A152" s="35" t="str">
        <f>B144</f>
        <v>market for electricity, medium voltage M23</v>
      </c>
      <c r="B152" s="35">
        <v>1</v>
      </c>
      <c r="C152" t="s">
        <v>31</v>
      </c>
      <c r="D152" t="s">
        <v>119</v>
      </c>
      <c r="F152" t="s">
        <v>174</v>
      </c>
      <c r="G152" s="35" t="str">
        <f>B35</f>
        <v>electricity, medium voltage</v>
      </c>
    </row>
    <row r="153" spans="1:8" x14ac:dyDescent="0.35">
      <c r="A153" s="35" t="s">
        <v>271</v>
      </c>
      <c r="B153" s="35">
        <f>Sheet1!L38</f>
        <v>1.00670440632908</v>
      </c>
      <c r="C153" t="s">
        <v>31</v>
      </c>
      <c r="D153" t="s">
        <v>119</v>
      </c>
      <c r="F153" t="s">
        <v>134</v>
      </c>
      <c r="G153" s="35" t="s">
        <v>151</v>
      </c>
      <c r="H153" s="35" t="s">
        <v>243</v>
      </c>
    </row>
    <row r="154" spans="1:8" x14ac:dyDescent="0.35">
      <c r="A154" s="35" t="s">
        <v>274</v>
      </c>
      <c r="B154" s="35">
        <f>Sheet1!L39</f>
        <v>4.2098906369769902E-3</v>
      </c>
      <c r="C154" t="s">
        <v>31</v>
      </c>
      <c r="D154" t="s">
        <v>119</v>
      </c>
      <c r="F154" t="s">
        <v>134</v>
      </c>
      <c r="G154" s="35" t="s">
        <v>237</v>
      </c>
      <c r="H154" s="35" t="s">
        <v>243</v>
      </c>
    </row>
    <row r="155" spans="1:8" x14ac:dyDescent="0.35">
      <c r="A155" t="s">
        <v>128</v>
      </c>
      <c r="B155" s="35">
        <f>Sheet1!AL31</f>
        <v>1.86277676887616E-8</v>
      </c>
      <c r="C155" t="s">
        <v>127</v>
      </c>
      <c r="D155" t="s">
        <v>138</v>
      </c>
      <c r="F155" t="s">
        <v>134</v>
      </c>
      <c r="G155" t="s">
        <v>155</v>
      </c>
    </row>
    <row r="156" spans="1:8" x14ac:dyDescent="0.35">
      <c r="A156" t="s">
        <v>126</v>
      </c>
      <c r="B156" s="35">
        <f>Sheet1!Q29</f>
        <v>5.4E-8</v>
      </c>
      <c r="C156" t="s">
        <v>118</v>
      </c>
      <c r="D156" t="s">
        <v>139</v>
      </c>
      <c r="F156" t="s">
        <v>134</v>
      </c>
      <c r="G156" t="s">
        <v>154</v>
      </c>
    </row>
    <row r="159" spans="1:8" x14ac:dyDescent="0.35">
      <c r="A159" s="36" t="s">
        <v>19</v>
      </c>
      <c r="B159" s="35" t="s">
        <v>272</v>
      </c>
    </row>
    <row r="160" spans="1:8" x14ac:dyDescent="0.35">
      <c r="A160" t="s">
        <v>20</v>
      </c>
      <c r="B160" s="35">
        <v>1</v>
      </c>
    </row>
    <row r="161" spans="1:8" x14ac:dyDescent="0.35">
      <c r="A161" t="s">
        <v>21</v>
      </c>
      <c r="B161" s="35" t="s">
        <v>120</v>
      </c>
    </row>
    <row r="162" spans="1:8" x14ac:dyDescent="0.35">
      <c r="A162" t="s">
        <v>22</v>
      </c>
      <c r="B162" s="35" t="s">
        <v>152</v>
      </c>
    </row>
    <row r="163" spans="1:8" x14ac:dyDescent="0.35">
      <c r="A163" t="s">
        <v>23</v>
      </c>
      <c r="B163" s="35" t="s">
        <v>31</v>
      </c>
    </row>
    <row r="164" spans="1:8" x14ac:dyDescent="0.35">
      <c r="A164" t="s">
        <v>24</v>
      </c>
      <c r="B164" s="35" t="s">
        <v>119</v>
      </c>
    </row>
    <row r="165" spans="1:8" x14ac:dyDescent="0.35">
      <c r="A165" t="s">
        <v>25</v>
      </c>
    </row>
    <row r="166" spans="1:8" x14ac:dyDescent="0.35">
      <c r="A166" t="s">
        <v>26</v>
      </c>
      <c r="B166" s="35" t="s">
        <v>27</v>
      </c>
      <c r="C166" t="s">
        <v>23</v>
      </c>
      <c r="D166" t="s">
        <v>24</v>
      </c>
      <c r="E166" t="s">
        <v>28</v>
      </c>
      <c r="F166" t="s">
        <v>29</v>
      </c>
      <c r="G166" t="s">
        <v>22</v>
      </c>
      <c r="H166" t="s">
        <v>21</v>
      </c>
    </row>
    <row r="167" spans="1:8" x14ac:dyDescent="0.35">
      <c r="A167" s="35" t="str">
        <f>B159</f>
        <v>market for electricity, low voltage M23</v>
      </c>
      <c r="B167" s="35">
        <v>1</v>
      </c>
      <c r="C167" t="s">
        <v>31</v>
      </c>
      <c r="D167" t="s">
        <v>119</v>
      </c>
      <c r="F167" t="s">
        <v>174</v>
      </c>
      <c r="G167" s="35" t="str">
        <f>B50</f>
        <v>electricity, low voltage</v>
      </c>
    </row>
    <row r="168" spans="1:8" x14ac:dyDescent="0.35">
      <c r="A168" s="35" t="s">
        <v>274</v>
      </c>
      <c r="B168" s="35">
        <f>Sheet1!L40</f>
        <v>1.03093659171436</v>
      </c>
      <c r="C168" t="s">
        <v>31</v>
      </c>
      <c r="D168" t="s">
        <v>119</v>
      </c>
      <c r="F168" t="s">
        <v>134</v>
      </c>
      <c r="G168" s="35" t="s">
        <v>237</v>
      </c>
      <c r="H168" s="35" t="s">
        <v>243</v>
      </c>
    </row>
    <row r="169" spans="1:8" s="35" customFormat="1" x14ac:dyDescent="0.35">
      <c r="A169" s="35" t="s">
        <v>272</v>
      </c>
      <c r="B169" s="35">
        <f>Sheet1!L41</f>
        <v>3.0698133930844199E-2</v>
      </c>
      <c r="C169" t="s">
        <v>31</v>
      </c>
      <c r="D169" t="s">
        <v>119</v>
      </c>
      <c r="E169"/>
      <c r="F169" t="s">
        <v>134</v>
      </c>
      <c r="G169" t="s">
        <v>152</v>
      </c>
      <c r="H169" s="35" t="s">
        <v>243</v>
      </c>
    </row>
    <row r="170" spans="1:8" x14ac:dyDescent="0.35">
      <c r="A170" t="s">
        <v>129</v>
      </c>
      <c r="B170" s="35">
        <f>Sheet1!AL32</f>
        <v>8.7404880965322298E-8</v>
      </c>
      <c r="C170" t="s">
        <v>127</v>
      </c>
      <c r="D170" t="s">
        <v>138</v>
      </c>
      <c r="F170" t="s">
        <v>134</v>
      </c>
      <c r="G170" t="s">
        <v>153</v>
      </c>
    </row>
    <row r="173" spans="1:8" x14ac:dyDescent="0.35">
      <c r="A173" s="36" t="s">
        <v>19</v>
      </c>
      <c r="B173" s="35" t="s">
        <v>275</v>
      </c>
    </row>
    <row r="174" spans="1:8" x14ac:dyDescent="0.35">
      <c r="A174" t="s">
        <v>20</v>
      </c>
      <c r="B174" s="35">
        <v>1</v>
      </c>
    </row>
    <row r="175" spans="1:8" x14ac:dyDescent="0.35">
      <c r="A175" t="s">
        <v>21</v>
      </c>
      <c r="B175" s="35" t="s">
        <v>341</v>
      </c>
    </row>
    <row r="176" spans="1:8" x14ac:dyDescent="0.35">
      <c r="A176" t="s">
        <v>22</v>
      </c>
      <c r="B176" s="35" t="s">
        <v>151</v>
      </c>
    </row>
    <row r="177" spans="1:8" x14ac:dyDescent="0.35">
      <c r="A177" t="s">
        <v>23</v>
      </c>
      <c r="B177" s="35" t="s">
        <v>31</v>
      </c>
    </row>
    <row r="178" spans="1:8" x14ac:dyDescent="0.35">
      <c r="A178" t="s">
        <v>24</v>
      </c>
      <c r="B178" s="35" t="s">
        <v>119</v>
      </c>
    </row>
    <row r="179" spans="1:8" x14ac:dyDescent="0.35">
      <c r="A179" t="s">
        <v>25</v>
      </c>
    </row>
    <row r="180" spans="1:8" x14ac:dyDescent="0.35">
      <c r="A180" t="s">
        <v>26</v>
      </c>
      <c r="B180" s="35" t="s">
        <v>27</v>
      </c>
      <c r="C180" t="s">
        <v>23</v>
      </c>
      <c r="D180" t="s">
        <v>24</v>
      </c>
      <c r="E180" t="s">
        <v>28</v>
      </c>
      <c r="F180" t="s">
        <v>29</v>
      </c>
      <c r="G180" t="s">
        <v>22</v>
      </c>
      <c r="H180" t="s">
        <v>21</v>
      </c>
    </row>
    <row r="181" spans="1:8" x14ac:dyDescent="0.35">
      <c r="A181" s="35" t="str">
        <f>B173</f>
        <v>market for electricity, high voltage N1</v>
      </c>
      <c r="B181" s="35">
        <v>1</v>
      </c>
      <c r="C181" t="s">
        <v>31</v>
      </c>
      <c r="D181" t="s">
        <v>119</v>
      </c>
      <c r="F181" t="s">
        <v>174</v>
      </c>
      <c r="G181" s="35" t="str">
        <f>B9</f>
        <v>electricity, high voltage</v>
      </c>
    </row>
    <row r="182" spans="1:8" x14ac:dyDescent="0.35">
      <c r="A182" s="35" t="s">
        <v>275</v>
      </c>
      <c r="B182" s="35">
        <f>Sheet1!L37</f>
        <v>3.1242684515255099E-2</v>
      </c>
      <c r="C182" t="s">
        <v>31</v>
      </c>
      <c r="D182" t="s">
        <v>119</v>
      </c>
      <c r="F182" t="s">
        <v>134</v>
      </c>
      <c r="G182" t="s">
        <v>151</v>
      </c>
      <c r="H182" t="s">
        <v>244</v>
      </c>
    </row>
    <row r="183" spans="1:8" x14ac:dyDescent="0.35">
      <c r="A183" t="s">
        <v>132</v>
      </c>
      <c r="B183" s="35">
        <f>Nuclear!E6</f>
        <v>0.12425581249608321</v>
      </c>
      <c r="C183" t="s">
        <v>31</v>
      </c>
      <c r="D183" t="s">
        <v>119</v>
      </c>
      <c r="F183" t="s">
        <v>134</v>
      </c>
      <c r="G183" t="s">
        <v>151</v>
      </c>
    </row>
    <row r="184" spans="1:8" x14ac:dyDescent="0.35">
      <c r="A184" t="s">
        <v>344</v>
      </c>
      <c r="B184" s="35">
        <f>Nuclear!G6</f>
        <v>0.12049048484468675</v>
      </c>
      <c r="C184" t="s">
        <v>31</v>
      </c>
      <c r="D184" t="s">
        <v>119</v>
      </c>
      <c r="F184" t="s">
        <v>134</v>
      </c>
      <c r="G184" t="s">
        <v>151</v>
      </c>
    </row>
    <row r="185" spans="1:8" x14ac:dyDescent="0.35">
      <c r="A185" t="s">
        <v>91</v>
      </c>
      <c r="B185" s="35">
        <f>hydro!J13</f>
        <v>1.3511828591383867E-2</v>
      </c>
      <c r="C185" t="s">
        <v>31</v>
      </c>
      <c r="D185" t="s">
        <v>119</v>
      </c>
      <c r="F185" t="s">
        <v>134</v>
      </c>
      <c r="G185" t="s">
        <v>151</v>
      </c>
    </row>
    <row r="186" spans="1:8" x14ac:dyDescent="0.35">
      <c r="A186" t="s">
        <v>92</v>
      </c>
      <c r="B186" s="35">
        <f>hydro!J14</f>
        <v>7.0939091589936748E-2</v>
      </c>
      <c r="C186" t="s">
        <v>31</v>
      </c>
      <c r="D186" t="s">
        <v>119</v>
      </c>
      <c r="F186" t="s">
        <v>134</v>
      </c>
      <c r="G186" t="s">
        <v>151</v>
      </c>
    </row>
    <row r="187" spans="1:8" x14ac:dyDescent="0.35">
      <c r="A187" t="s">
        <v>97</v>
      </c>
      <c r="B187" s="35">
        <f>Wind!J13</f>
        <v>0.14764168148050039</v>
      </c>
      <c r="C187" t="s">
        <v>31</v>
      </c>
      <c r="D187" t="s">
        <v>119</v>
      </c>
      <c r="F187" t="s">
        <v>134</v>
      </c>
      <c r="G187" t="s">
        <v>151</v>
      </c>
    </row>
    <row r="188" spans="1:8" x14ac:dyDescent="0.35">
      <c r="A188" s="9" t="s">
        <v>131</v>
      </c>
      <c r="B188" s="35">
        <f>Wind!J14</f>
        <v>9.4887267834316384E-3</v>
      </c>
      <c r="C188" t="s">
        <v>31</v>
      </c>
      <c r="D188" t="s">
        <v>119</v>
      </c>
      <c r="F188" t="s">
        <v>134</v>
      </c>
      <c r="G188" t="s">
        <v>151</v>
      </c>
    </row>
    <row r="189" spans="1:8" x14ac:dyDescent="0.35">
      <c r="A189" t="s">
        <v>123</v>
      </c>
      <c r="B189" s="35">
        <f>Wind!J15</f>
        <v>6.0992513206971051E-4</v>
      </c>
      <c r="C189" t="s">
        <v>31</v>
      </c>
      <c r="D189" t="s">
        <v>119</v>
      </c>
      <c r="F189" t="s">
        <v>134</v>
      </c>
      <c r="G189" t="s">
        <v>151</v>
      </c>
    </row>
    <row r="190" spans="1:8" x14ac:dyDescent="0.35">
      <c r="A190" t="s">
        <v>96</v>
      </c>
      <c r="B190" s="35">
        <f>Wind!J26</f>
        <v>8.7088938490277712E-2</v>
      </c>
      <c r="C190" t="s">
        <v>31</v>
      </c>
      <c r="D190" t="s">
        <v>119</v>
      </c>
      <c r="F190" t="s">
        <v>134</v>
      </c>
      <c r="G190" t="s">
        <v>151</v>
      </c>
    </row>
    <row r="191" spans="1:8" x14ac:dyDescent="0.35">
      <c r="A191" t="s">
        <v>96</v>
      </c>
      <c r="B191" s="35">
        <f>Wind!J27</f>
        <v>0.12834159356461977</v>
      </c>
      <c r="C191" t="s">
        <v>31</v>
      </c>
      <c r="D191" t="s">
        <v>119</v>
      </c>
      <c r="F191" t="s">
        <v>134</v>
      </c>
      <c r="G191" t="s">
        <v>151</v>
      </c>
      <c r="H191" t="s">
        <v>162</v>
      </c>
    </row>
    <row r="192" spans="1:8" x14ac:dyDescent="0.35">
      <c r="A192" s="10" t="s">
        <v>136</v>
      </c>
      <c r="B192" s="35">
        <f>Biogas!F9</f>
        <v>1.3178646779887613E-2</v>
      </c>
      <c r="C192" t="s">
        <v>31</v>
      </c>
      <c r="D192" t="s">
        <v>119</v>
      </c>
      <c r="F192" t="s">
        <v>134</v>
      </c>
      <c r="G192" t="s">
        <v>151</v>
      </c>
    </row>
    <row r="193" spans="1:8" x14ac:dyDescent="0.35">
      <c r="A193" t="s">
        <v>276</v>
      </c>
      <c r="B193" s="35">
        <f>Sheet1!AJ30*2</f>
        <v>8.7947295857617319E-2</v>
      </c>
      <c r="C193" t="s">
        <v>31</v>
      </c>
      <c r="D193" t="s">
        <v>119</v>
      </c>
      <c r="F193" t="s">
        <v>134</v>
      </c>
      <c r="G193" t="s">
        <v>151</v>
      </c>
      <c r="H193" t="s">
        <v>342</v>
      </c>
    </row>
    <row r="194" spans="1:8" x14ac:dyDescent="0.35">
      <c r="A194" t="s">
        <v>94</v>
      </c>
      <c r="B194" s="35">
        <f>Sheet1!X30</f>
        <v>0.19418332602201752</v>
      </c>
      <c r="C194" t="s">
        <v>31</v>
      </c>
      <c r="D194" t="s">
        <v>119</v>
      </c>
      <c r="F194" t="s">
        <v>134</v>
      </c>
      <c r="G194" t="s">
        <v>152</v>
      </c>
    </row>
    <row r="195" spans="1:8" x14ac:dyDescent="0.35">
      <c r="A195" s="35" t="s">
        <v>277</v>
      </c>
      <c r="B195" s="35">
        <f>Sheet1!AI30</f>
        <v>4.6296296296296294E-2</v>
      </c>
      <c r="C195" t="s">
        <v>118</v>
      </c>
      <c r="D195" t="s">
        <v>119</v>
      </c>
      <c r="F195" t="s">
        <v>134</v>
      </c>
      <c r="G195" t="s">
        <v>151</v>
      </c>
    </row>
    <row r="196" spans="1:8" x14ac:dyDescent="0.35">
      <c r="A196" t="s">
        <v>125</v>
      </c>
      <c r="B196" s="35">
        <f>Sheet1!AL28</f>
        <v>5.65463552361011E-9</v>
      </c>
      <c r="C196" t="s">
        <v>127</v>
      </c>
      <c r="D196" t="s">
        <v>138</v>
      </c>
      <c r="F196" t="s">
        <v>134</v>
      </c>
      <c r="G196" t="s">
        <v>101</v>
      </c>
      <c r="H196" t="s">
        <v>243</v>
      </c>
    </row>
    <row r="197" spans="1:8" x14ac:dyDescent="0.35">
      <c r="A197" t="s">
        <v>124</v>
      </c>
      <c r="B197" s="35">
        <f>Sheet1!AL29</f>
        <v>3.8616897390338299E-10</v>
      </c>
      <c r="C197" t="s">
        <v>127</v>
      </c>
      <c r="D197" t="s">
        <v>138</v>
      </c>
      <c r="F197" t="s">
        <v>134</v>
      </c>
      <c r="G197" t="s">
        <v>102</v>
      </c>
      <c r="H197" t="s">
        <v>243</v>
      </c>
    </row>
    <row r="198" spans="1:8" x14ac:dyDescent="0.35">
      <c r="A198" t="s">
        <v>157</v>
      </c>
      <c r="B198" s="35">
        <f>Sheet1!AL30</f>
        <v>3.4744697665053399E-12</v>
      </c>
      <c r="C198" t="s">
        <v>127</v>
      </c>
      <c r="D198" t="s">
        <v>138</v>
      </c>
      <c r="F198" t="s">
        <v>134</v>
      </c>
      <c r="G198" t="s">
        <v>103</v>
      </c>
      <c r="H198" t="s">
        <v>243</v>
      </c>
    </row>
    <row r="200" spans="1:8" x14ac:dyDescent="0.35">
      <c r="A200" s="35"/>
      <c r="F200" s="35"/>
    </row>
    <row r="201" spans="1:8" x14ac:dyDescent="0.35">
      <c r="A201" s="36" t="s">
        <v>19</v>
      </c>
      <c r="B201" s="35" t="s">
        <v>278</v>
      </c>
    </row>
    <row r="202" spans="1:8" x14ac:dyDescent="0.35">
      <c r="A202" t="s">
        <v>20</v>
      </c>
      <c r="B202" s="35">
        <v>1</v>
      </c>
    </row>
    <row r="203" spans="1:8" x14ac:dyDescent="0.35">
      <c r="A203" t="s">
        <v>21</v>
      </c>
      <c r="B203" s="35" t="s">
        <v>245</v>
      </c>
    </row>
    <row r="204" spans="1:8" x14ac:dyDescent="0.35">
      <c r="A204" t="s">
        <v>22</v>
      </c>
      <c r="B204" s="35" t="s">
        <v>237</v>
      </c>
    </row>
    <row r="205" spans="1:8" x14ac:dyDescent="0.35">
      <c r="A205" t="s">
        <v>23</v>
      </c>
      <c r="B205" s="35" t="s">
        <v>31</v>
      </c>
    </row>
    <row r="206" spans="1:8" x14ac:dyDescent="0.35">
      <c r="A206" t="s">
        <v>24</v>
      </c>
      <c r="B206" s="35" t="s">
        <v>119</v>
      </c>
    </row>
    <row r="207" spans="1:8" x14ac:dyDescent="0.35">
      <c r="A207" t="s">
        <v>25</v>
      </c>
    </row>
    <row r="208" spans="1:8" x14ac:dyDescent="0.35">
      <c r="A208" t="s">
        <v>26</v>
      </c>
      <c r="B208" s="35" t="s">
        <v>27</v>
      </c>
      <c r="C208" t="s">
        <v>23</v>
      </c>
      <c r="D208" t="s">
        <v>24</v>
      </c>
      <c r="E208" t="s">
        <v>28</v>
      </c>
      <c r="F208" t="s">
        <v>29</v>
      </c>
      <c r="G208" t="s">
        <v>22</v>
      </c>
      <c r="H208" t="s">
        <v>21</v>
      </c>
    </row>
    <row r="209" spans="1:8" x14ac:dyDescent="0.35">
      <c r="A209" s="35" t="str">
        <f>B201</f>
        <v>market for electricity, medium voltage N1</v>
      </c>
      <c r="B209" s="35">
        <v>1</v>
      </c>
      <c r="C209" t="s">
        <v>31</v>
      </c>
      <c r="D209" t="s">
        <v>119</v>
      </c>
      <c r="F209" t="s">
        <v>174</v>
      </c>
      <c r="G209" s="35" t="str">
        <f>B35</f>
        <v>electricity, medium voltage</v>
      </c>
    </row>
    <row r="210" spans="1:8" x14ac:dyDescent="0.35">
      <c r="A210" s="35" t="s">
        <v>275</v>
      </c>
      <c r="B210" s="35">
        <f>Sheet1!L38</f>
        <v>1.00670440632908</v>
      </c>
      <c r="C210" t="s">
        <v>31</v>
      </c>
      <c r="D210" t="s">
        <v>119</v>
      </c>
      <c r="F210" t="s">
        <v>134</v>
      </c>
      <c r="G210" s="35" t="s">
        <v>151</v>
      </c>
      <c r="H210" s="35" t="s">
        <v>243</v>
      </c>
    </row>
    <row r="211" spans="1:8" x14ac:dyDescent="0.35">
      <c r="A211" s="35" t="s">
        <v>278</v>
      </c>
      <c r="B211" s="35">
        <f>Sheet1!L39</f>
        <v>4.2098906369769902E-3</v>
      </c>
      <c r="C211" t="s">
        <v>31</v>
      </c>
      <c r="D211" t="s">
        <v>119</v>
      </c>
      <c r="F211" t="s">
        <v>134</v>
      </c>
      <c r="G211" s="35" t="s">
        <v>237</v>
      </c>
      <c r="H211" s="35" t="s">
        <v>243</v>
      </c>
    </row>
    <row r="212" spans="1:8" x14ac:dyDescent="0.35">
      <c r="A212" t="s">
        <v>128</v>
      </c>
      <c r="B212" s="35">
        <f>Sheet1!AL31</f>
        <v>1.86277676887616E-8</v>
      </c>
      <c r="C212" t="s">
        <v>127</v>
      </c>
      <c r="D212" t="s">
        <v>138</v>
      </c>
      <c r="F212" t="s">
        <v>134</v>
      </c>
      <c r="G212" t="s">
        <v>155</v>
      </c>
    </row>
    <row r="213" spans="1:8" x14ac:dyDescent="0.35">
      <c r="A213" t="s">
        <v>126</v>
      </c>
      <c r="B213" s="35">
        <f>Sheet1!Q29</f>
        <v>5.4E-8</v>
      </c>
      <c r="C213" t="s">
        <v>118</v>
      </c>
      <c r="D213" t="s">
        <v>139</v>
      </c>
      <c r="F213" t="s">
        <v>134</v>
      </c>
      <c r="G213" t="s">
        <v>154</v>
      </c>
    </row>
    <row r="216" spans="1:8" x14ac:dyDescent="0.35">
      <c r="A216" s="36" t="s">
        <v>19</v>
      </c>
      <c r="B216" s="35" t="s">
        <v>276</v>
      </c>
    </row>
    <row r="217" spans="1:8" x14ac:dyDescent="0.35">
      <c r="A217" t="s">
        <v>20</v>
      </c>
      <c r="B217" s="35">
        <v>1</v>
      </c>
    </row>
    <row r="218" spans="1:8" x14ac:dyDescent="0.35">
      <c r="A218" t="s">
        <v>21</v>
      </c>
      <c r="B218" s="35" t="s">
        <v>120</v>
      </c>
    </row>
    <row r="219" spans="1:8" x14ac:dyDescent="0.35">
      <c r="A219" t="s">
        <v>22</v>
      </c>
      <c r="B219" s="35" t="s">
        <v>152</v>
      </c>
    </row>
    <row r="220" spans="1:8" x14ac:dyDescent="0.35">
      <c r="A220" t="s">
        <v>23</v>
      </c>
      <c r="B220" s="35" t="s">
        <v>31</v>
      </c>
    </row>
    <row r="221" spans="1:8" x14ac:dyDescent="0.35">
      <c r="A221" t="s">
        <v>24</v>
      </c>
      <c r="B221" s="35" t="s">
        <v>119</v>
      </c>
    </row>
    <row r="222" spans="1:8" x14ac:dyDescent="0.35">
      <c r="A222" t="s">
        <v>25</v>
      </c>
    </row>
    <row r="223" spans="1:8" x14ac:dyDescent="0.35">
      <c r="A223" t="s">
        <v>26</v>
      </c>
      <c r="B223" s="35" t="s">
        <v>27</v>
      </c>
      <c r="C223" t="s">
        <v>23</v>
      </c>
      <c r="D223" t="s">
        <v>24</v>
      </c>
      <c r="E223" t="s">
        <v>28</v>
      </c>
      <c r="F223" t="s">
        <v>29</v>
      </c>
      <c r="G223" t="s">
        <v>22</v>
      </c>
      <c r="H223" t="s">
        <v>21</v>
      </c>
    </row>
    <row r="224" spans="1:8" x14ac:dyDescent="0.35">
      <c r="A224" s="35" t="str">
        <f>B216</f>
        <v>market for electricity, low voltage N1</v>
      </c>
      <c r="B224" s="35">
        <v>1</v>
      </c>
      <c r="C224" t="s">
        <v>31</v>
      </c>
      <c r="D224" t="s">
        <v>119</v>
      </c>
      <c r="F224" t="s">
        <v>174</v>
      </c>
      <c r="G224" s="35" t="str">
        <f>B50</f>
        <v>electricity, low voltage</v>
      </c>
    </row>
    <row r="225" spans="1:8" x14ac:dyDescent="0.35">
      <c r="A225" s="35" t="s">
        <v>278</v>
      </c>
      <c r="B225" s="35">
        <f>Sheet1!L40</f>
        <v>1.03093659171436</v>
      </c>
      <c r="C225" t="s">
        <v>31</v>
      </c>
      <c r="D225" t="s">
        <v>119</v>
      </c>
      <c r="F225" t="s">
        <v>134</v>
      </c>
      <c r="G225" s="35" t="s">
        <v>237</v>
      </c>
      <c r="H225" s="35" t="s">
        <v>243</v>
      </c>
    </row>
    <row r="226" spans="1:8" s="35" customFormat="1" x14ac:dyDescent="0.35">
      <c r="A226" s="35" t="s">
        <v>276</v>
      </c>
      <c r="B226" s="35">
        <f>Sheet1!L41</f>
        <v>3.0698133930844199E-2</v>
      </c>
      <c r="C226" t="s">
        <v>31</v>
      </c>
      <c r="D226" t="s">
        <v>119</v>
      </c>
      <c r="E226"/>
      <c r="F226" t="s">
        <v>134</v>
      </c>
      <c r="G226" t="s">
        <v>152</v>
      </c>
      <c r="H226" s="35" t="s">
        <v>243</v>
      </c>
    </row>
    <row r="227" spans="1:8" x14ac:dyDescent="0.35">
      <c r="A227" t="s">
        <v>129</v>
      </c>
      <c r="B227" s="35">
        <f>Sheet1!AL32</f>
        <v>8.7404880965322298E-8</v>
      </c>
      <c r="C227" t="s">
        <v>127</v>
      </c>
      <c r="D227" t="s">
        <v>138</v>
      </c>
      <c r="F227" t="s">
        <v>134</v>
      </c>
      <c r="G227" t="s">
        <v>153</v>
      </c>
    </row>
    <row r="230" spans="1:8" x14ac:dyDescent="0.35">
      <c r="A230" s="36" t="s">
        <v>19</v>
      </c>
      <c r="B230" s="35" t="s">
        <v>279</v>
      </c>
    </row>
    <row r="231" spans="1:8" x14ac:dyDescent="0.35">
      <c r="A231" t="s">
        <v>20</v>
      </c>
      <c r="B231" s="35">
        <v>1</v>
      </c>
    </row>
    <row r="232" spans="1:8" x14ac:dyDescent="0.35">
      <c r="A232" t="s">
        <v>21</v>
      </c>
      <c r="B232" s="35" t="s">
        <v>341</v>
      </c>
    </row>
    <row r="233" spans="1:8" x14ac:dyDescent="0.35">
      <c r="A233" t="s">
        <v>22</v>
      </c>
      <c r="B233" s="35" t="s">
        <v>151</v>
      </c>
    </row>
    <row r="234" spans="1:8" x14ac:dyDescent="0.35">
      <c r="A234" t="s">
        <v>23</v>
      </c>
      <c r="B234" s="35" t="s">
        <v>31</v>
      </c>
    </row>
    <row r="235" spans="1:8" x14ac:dyDescent="0.35">
      <c r="A235" t="s">
        <v>24</v>
      </c>
      <c r="B235" s="35" t="s">
        <v>119</v>
      </c>
    </row>
    <row r="236" spans="1:8" x14ac:dyDescent="0.35">
      <c r="A236" t="s">
        <v>25</v>
      </c>
    </row>
    <row r="237" spans="1:8" x14ac:dyDescent="0.35">
      <c r="A237" t="s">
        <v>26</v>
      </c>
      <c r="B237" s="35" t="s">
        <v>27</v>
      </c>
      <c r="C237" t="s">
        <v>23</v>
      </c>
      <c r="D237" t="s">
        <v>24</v>
      </c>
      <c r="E237" t="s">
        <v>28</v>
      </c>
      <c r="F237" t="s">
        <v>29</v>
      </c>
      <c r="G237" t="s">
        <v>22</v>
      </c>
      <c r="H237" t="s">
        <v>21</v>
      </c>
    </row>
    <row r="238" spans="1:8" x14ac:dyDescent="0.35">
      <c r="A238" s="35" t="str">
        <f>B230</f>
        <v>market for electricity, high voltage N2</v>
      </c>
      <c r="B238" s="35">
        <v>1</v>
      </c>
      <c r="C238" t="s">
        <v>31</v>
      </c>
      <c r="D238" t="s">
        <v>119</v>
      </c>
      <c r="F238" t="s">
        <v>174</v>
      </c>
      <c r="G238" s="35" t="str">
        <f>B9</f>
        <v>electricity, high voltage</v>
      </c>
    </row>
    <row r="239" spans="1:8" x14ac:dyDescent="0.35">
      <c r="A239" s="35" t="s">
        <v>279</v>
      </c>
      <c r="B239" s="35">
        <f>Sheet1!L37</f>
        <v>3.1242684515255099E-2</v>
      </c>
      <c r="C239" t="s">
        <v>31</v>
      </c>
      <c r="D239" t="s">
        <v>119</v>
      </c>
      <c r="F239" t="s">
        <v>134</v>
      </c>
      <c r="G239" t="s">
        <v>151</v>
      </c>
      <c r="H239" t="s">
        <v>244</v>
      </c>
    </row>
    <row r="240" spans="1:8" x14ac:dyDescent="0.35">
      <c r="A240" t="s">
        <v>132</v>
      </c>
      <c r="B240" s="35">
        <f>Nuclear!E7</f>
        <v>0.13041779341669696</v>
      </c>
      <c r="C240" t="s">
        <v>31</v>
      </c>
      <c r="D240" t="s">
        <v>119</v>
      </c>
      <c r="F240" t="s">
        <v>134</v>
      </c>
      <c r="G240" t="s">
        <v>151</v>
      </c>
    </row>
    <row r="241" spans="1:8" x14ac:dyDescent="0.35">
      <c r="A241" t="s">
        <v>344</v>
      </c>
      <c r="B241" s="35">
        <f>Nuclear!G7</f>
        <v>0.22315310946594874</v>
      </c>
      <c r="C241" t="s">
        <v>31</v>
      </c>
      <c r="D241" t="s">
        <v>119</v>
      </c>
      <c r="F241" t="s">
        <v>134</v>
      </c>
      <c r="G241" t="s">
        <v>151</v>
      </c>
    </row>
    <row r="242" spans="1:8" x14ac:dyDescent="0.35">
      <c r="A242" t="s">
        <v>91</v>
      </c>
      <c r="B242" s="35">
        <f>hydro!K13</f>
        <v>1.4052851241463226E-2</v>
      </c>
      <c r="C242" t="s">
        <v>31</v>
      </c>
      <c r="D242" t="s">
        <v>119</v>
      </c>
      <c r="F242" t="s">
        <v>134</v>
      </c>
      <c r="G242" t="s">
        <v>151</v>
      </c>
    </row>
    <row r="243" spans="1:8" x14ac:dyDescent="0.35">
      <c r="A243" t="s">
        <v>92</v>
      </c>
      <c r="B243" s="35">
        <f>hydro!K14</f>
        <v>7.3779540243251063E-2</v>
      </c>
      <c r="C243" t="s">
        <v>31</v>
      </c>
      <c r="D243" t="s">
        <v>119</v>
      </c>
      <c r="F243" t="s">
        <v>134</v>
      </c>
      <c r="G243" t="s">
        <v>151</v>
      </c>
    </row>
    <row r="244" spans="1:8" x14ac:dyDescent="0.35">
      <c r="A244" t="s">
        <v>97</v>
      </c>
      <c r="B244" s="35">
        <f>Wind!K13</f>
        <v>0.13609768838358549</v>
      </c>
      <c r="C244" t="s">
        <v>31</v>
      </c>
      <c r="D244" t="s">
        <v>119</v>
      </c>
      <c r="F244" t="s">
        <v>134</v>
      </c>
      <c r="G244" t="s">
        <v>151</v>
      </c>
    </row>
    <row r="245" spans="1:8" x14ac:dyDescent="0.35">
      <c r="A245" s="9" t="s">
        <v>131</v>
      </c>
      <c r="B245" s="35">
        <f>Wind!K14</f>
        <v>8.7468103043720768E-3</v>
      </c>
      <c r="C245" t="s">
        <v>31</v>
      </c>
      <c r="D245" t="s">
        <v>119</v>
      </c>
      <c r="F245" t="s">
        <v>134</v>
      </c>
      <c r="G245" t="s">
        <v>151</v>
      </c>
    </row>
    <row r="246" spans="1:8" x14ac:dyDescent="0.35">
      <c r="A246" t="s">
        <v>123</v>
      </c>
      <c r="B246" s="35">
        <f>Wind!K15</f>
        <v>5.622355403254065E-4</v>
      </c>
      <c r="C246" t="s">
        <v>31</v>
      </c>
      <c r="D246" t="s">
        <v>119</v>
      </c>
      <c r="F246" t="s">
        <v>134</v>
      </c>
      <c r="G246" t="s">
        <v>151</v>
      </c>
    </row>
    <row r="247" spans="1:8" x14ac:dyDescent="0.35">
      <c r="A247" t="s">
        <v>96</v>
      </c>
      <c r="B247" s="35">
        <f>Wind!K26</f>
        <v>7.4193999857205997E-2</v>
      </c>
      <c r="C247" t="s">
        <v>31</v>
      </c>
      <c r="D247" t="s">
        <v>119</v>
      </c>
      <c r="F247" t="s">
        <v>134</v>
      </c>
      <c r="G247" t="s">
        <v>151</v>
      </c>
    </row>
    <row r="248" spans="1:8" x14ac:dyDescent="0.35">
      <c r="A248" t="s">
        <v>96</v>
      </c>
      <c r="B248" s="35">
        <f>Wind!K27</f>
        <v>0.10665387479473361</v>
      </c>
      <c r="C248" t="s">
        <v>31</v>
      </c>
      <c r="D248" t="s">
        <v>119</v>
      </c>
      <c r="F248" t="s">
        <v>134</v>
      </c>
      <c r="G248" t="s">
        <v>151</v>
      </c>
      <c r="H248" t="s">
        <v>162</v>
      </c>
    </row>
    <row r="249" spans="1:8" x14ac:dyDescent="0.35">
      <c r="A249" s="10" t="s">
        <v>136</v>
      </c>
      <c r="B249" s="35">
        <f>Biogas!F10</f>
        <v>1.3728188780704946E-2</v>
      </c>
      <c r="C249" t="s">
        <v>31</v>
      </c>
      <c r="D249" t="s">
        <v>119</v>
      </c>
      <c r="F249" t="s">
        <v>134</v>
      </c>
      <c r="G249" t="s">
        <v>151</v>
      </c>
    </row>
    <row r="250" spans="1:8" x14ac:dyDescent="0.35">
      <c r="A250" t="s">
        <v>280</v>
      </c>
      <c r="B250" s="35">
        <f>Sheet1!AJ31*2</f>
        <v>5.715409206660834E-2</v>
      </c>
      <c r="C250" t="s">
        <v>31</v>
      </c>
      <c r="D250" t="s">
        <v>119</v>
      </c>
      <c r="F250" t="s">
        <v>134</v>
      </c>
      <c r="G250" t="s">
        <v>151</v>
      </c>
      <c r="H250" t="s">
        <v>342</v>
      </c>
    </row>
    <row r="251" spans="1:8" x14ac:dyDescent="0.35">
      <c r="A251" t="s">
        <v>94</v>
      </c>
      <c r="B251" s="35">
        <f>Sheet1!X31</f>
        <v>0.15423199844445043</v>
      </c>
      <c r="C251" t="s">
        <v>31</v>
      </c>
      <c r="D251" t="s">
        <v>119</v>
      </c>
      <c r="F251" t="s">
        <v>134</v>
      </c>
      <c r="G251" t="s">
        <v>152</v>
      </c>
    </row>
    <row r="252" spans="1:8" x14ac:dyDescent="0.35">
      <c r="A252" s="35" t="s">
        <v>281</v>
      </c>
      <c r="B252" s="35">
        <f>Sheet1!AI31</f>
        <v>3.5804863493957929E-2</v>
      </c>
      <c r="C252" t="s">
        <v>118</v>
      </c>
      <c r="D252" t="s">
        <v>119</v>
      </c>
      <c r="F252" t="s">
        <v>134</v>
      </c>
      <c r="G252" t="s">
        <v>151</v>
      </c>
    </row>
    <row r="253" spans="1:8" x14ac:dyDescent="0.35">
      <c r="A253" t="s">
        <v>125</v>
      </c>
      <c r="B253" s="35">
        <f>Sheet1!AL28</f>
        <v>5.65463552361011E-9</v>
      </c>
      <c r="C253" t="s">
        <v>127</v>
      </c>
      <c r="D253" t="s">
        <v>138</v>
      </c>
      <c r="F253" t="s">
        <v>134</v>
      </c>
      <c r="G253" t="s">
        <v>101</v>
      </c>
      <c r="H253" t="s">
        <v>243</v>
      </c>
    </row>
    <row r="254" spans="1:8" x14ac:dyDescent="0.35">
      <c r="A254" t="s">
        <v>124</v>
      </c>
      <c r="B254" s="35">
        <f>Sheet1!AL29</f>
        <v>3.8616897390338299E-10</v>
      </c>
      <c r="C254" t="s">
        <v>127</v>
      </c>
      <c r="D254" t="s">
        <v>138</v>
      </c>
      <c r="F254" t="s">
        <v>134</v>
      </c>
      <c r="G254" t="s">
        <v>102</v>
      </c>
      <c r="H254" t="s">
        <v>243</v>
      </c>
    </row>
    <row r="255" spans="1:8" x14ac:dyDescent="0.35">
      <c r="A255" t="s">
        <v>157</v>
      </c>
      <c r="B255" s="35">
        <f>Sheet1!AL30</f>
        <v>3.4744697665053399E-12</v>
      </c>
      <c r="C255" t="s">
        <v>127</v>
      </c>
      <c r="D255" t="s">
        <v>138</v>
      </c>
      <c r="F255" t="s">
        <v>134</v>
      </c>
      <c r="G255" t="s">
        <v>103</v>
      </c>
      <c r="H255" t="s">
        <v>243</v>
      </c>
    </row>
    <row r="257" spans="1:8" x14ac:dyDescent="0.35">
      <c r="A257" s="35"/>
      <c r="F257" s="35"/>
    </row>
    <row r="258" spans="1:8" x14ac:dyDescent="0.35">
      <c r="A258" s="36" t="s">
        <v>19</v>
      </c>
      <c r="B258" s="35" t="s">
        <v>282</v>
      </c>
    </row>
    <row r="259" spans="1:8" x14ac:dyDescent="0.35">
      <c r="A259" t="s">
        <v>20</v>
      </c>
      <c r="B259" s="35">
        <v>1</v>
      </c>
    </row>
    <row r="260" spans="1:8" x14ac:dyDescent="0.35">
      <c r="A260" t="s">
        <v>21</v>
      </c>
      <c r="B260" s="35" t="s">
        <v>245</v>
      </c>
    </row>
    <row r="261" spans="1:8" x14ac:dyDescent="0.35">
      <c r="A261" t="s">
        <v>22</v>
      </c>
      <c r="B261" s="35" t="s">
        <v>237</v>
      </c>
    </row>
    <row r="262" spans="1:8" x14ac:dyDescent="0.35">
      <c r="A262" t="s">
        <v>23</v>
      </c>
      <c r="B262" s="35" t="s">
        <v>31</v>
      </c>
    </row>
    <row r="263" spans="1:8" x14ac:dyDescent="0.35">
      <c r="A263" t="s">
        <v>24</v>
      </c>
      <c r="B263" s="35" t="s">
        <v>119</v>
      </c>
    </row>
    <row r="264" spans="1:8" x14ac:dyDescent="0.35">
      <c r="A264" t="s">
        <v>25</v>
      </c>
    </row>
    <row r="265" spans="1:8" x14ac:dyDescent="0.35">
      <c r="A265" t="s">
        <v>26</v>
      </c>
      <c r="B265" s="35" t="s">
        <v>27</v>
      </c>
      <c r="C265" t="s">
        <v>23</v>
      </c>
      <c r="D265" t="s">
        <v>24</v>
      </c>
      <c r="E265" t="s">
        <v>28</v>
      </c>
      <c r="F265" t="s">
        <v>29</v>
      </c>
      <c r="G265" t="s">
        <v>22</v>
      </c>
      <c r="H265" t="s">
        <v>21</v>
      </c>
    </row>
    <row r="266" spans="1:8" x14ac:dyDescent="0.35">
      <c r="A266" s="35" t="str">
        <f>B258</f>
        <v>market for electricity, medium voltage N2</v>
      </c>
      <c r="B266" s="35">
        <v>1</v>
      </c>
      <c r="C266" t="s">
        <v>31</v>
      </c>
      <c r="D266" t="s">
        <v>119</v>
      </c>
      <c r="F266" t="s">
        <v>174</v>
      </c>
      <c r="G266" s="35" t="str">
        <f>B35</f>
        <v>electricity, medium voltage</v>
      </c>
    </row>
    <row r="267" spans="1:8" x14ac:dyDescent="0.35">
      <c r="A267" s="35" t="s">
        <v>279</v>
      </c>
      <c r="B267" s="35">
        <f>Sheet1!L38</f>
        <v>1.00670440632908</v>
      </c>
      <c r="C267" t="s">
        <v>31</v>
      </c>
      <c r="D267" t="s">
        <v>119</v>
      </c>
      <c r="F267" t="s">
        <v>134</v>
      </c>
      <c r="G267" s="35" t="s">
        <v>151</v>
      </c>
      <c r="H267" s="35" t="s">
        <v>243</v>
      </c>
    </row>
    <row r="268" spans="1:8" x14ac:dyDescent="0.35">
      <c r="A268" s="35" t="s">
        <v>282</v>
      </c>
      <c r="B268" s="35">
        <f>Sheet1!L39</f>
        <v>4.2098906369769902E-3</v>
      </c>
      <c r="C268" t="s">
        <v>31</v>
      </c>
      <c r="D268" t="s">
        <v>119</v>
      </c>
      <c r="F268" t="s">
        <v>134</v>
      </c>
      <c r="G268" s="35" t="s">
        <v>237</v>
      </c>
      <c r="H268" s="35" t="s">
        <v>243</v>
      </c>
    </row>
    <row r="269" spans="1:8" x14ac:dyDescent="0.35">
      <c r="A269" t="s">
        <v>128</v>
      </c>
      <c r="B269" s="35">
        <f>Sheet1!AL31</f>
        <v>1.86277676887616E-8</v>
      </c>
      <c r="C269" t="s">
        <v>127</v>
      </c>
      <c r="D269" t="s">
        <v>138</v>
      </c>
      <c r="F269" t="s">
        <v>134</v>
      </c>
      <c r="G269" t="s">
        <v>155</v>
      </c>
    </row>
    <row r="270" spans="1:8" x14ac:dyDescent="0.35">
      <c r="A270" t="s">
        <v>126</v>
      </c>
      <c r="B270" s="35">
        <f>Sheet1!Q29</f>
        <v>5.4E-8</v>
      </c>
      <c r="C270" t="s">
        <v>118</v>
      </c>
      <c r="D270" t="s">
        <v>139</v>
      </c>
      <c r="F270" t="s">
        <v>134</v>
      </c>
      <c r="G270" t="s">
        <v>154</v>
      </c>
    </row>
    <row r="273" spans="1:8" x14ac:dyDescent="0.35">
      <c r="A273" s="36" t="s">
        <v>19</v>
      </c>
      <c r="B273" s="35" t="s">
        <v>280</v>
      </c>
    </row>
    <row r="274" spans="1:8" x14ac:dyDescent="0.35">
      <c r="A274" t="s">
        <v>20</v>
      </c>
      <c r="B274" s="35">
        <v>1</v>
      </c>
    </row>
    <row r="275" spans="1:8" x14ac:dyDescent="0.35">
      <c r="A275" t="s">
        <v>21</v>
      </c>
      <c r="B275" s="35" t="s">
        <v>120</v>
      </c>
    </row>
    <row r="276" spans="1:8" x14ac:dyDescent="0.35">
      <c r="A276" t="s">
        <v>22</v>
      </c>
      <c r="B276" s="35" t="s">
        <v>152</v>
      </c>
    </row>
    <row r="277" spans="1:8" x14ac:dyDescent="0.35">
      <c r="A277" t="s">
        <v>23</v>
      </c>
      <c r="B277" s="35" t="s">
        <v>31</v>
      </c>
    </row>
    <row r="278" spans="1:8" x14ac:dyDescent="0.35">
      <c r="A278" t="s">
        <v>24</v>
      </c>
      <c r="B278" s="35" t="s">
        <v>119</v>
      </c>
    </row>
    <row r="279" spans="1:8" x14ac:dyDescent="0.35">
      <c r="A279" t="s">
        <v>25</v>
      </c>
    </row>
    <row r="280" spans="1:8" x14ac:dyDescent="0.35">
      <c r="A280" t="s">
        <v>26</v>
      </c>
      <c r="B280" s="35" t="s">
        <v>27</v>
      </c>
      <c r="C280" t="s">
        <v>23</v>
      </c>
      <c r="D280" t="s">
        <v>24</v>
      </c>
      <c r="E280" t="s">
        <v>28</v>
      </c>
      <c r="F280" t="s">
        <v>29</v>
      </c>
      <c r="G280" t="s">
        <v>22</v>
      </c>
      <c r="H280" t="s">
        <v>21</v>
      </c>
    </row>
    <row r="281" spans="1:8" x14ac:dyDescent="0.35">
      <c r="A281" s="35" t="str">
        <f>B273</f>
        <v>market for electricity, low voltage N2</v>
      </c>
      <c r="B281" s="35">
        <v>1</v>
      </c>
      <c r="C281" t="s">
        <v>31</v>
      </c>
      <c r="D281" t="s">
        <v>119</v>
      </c>
      <c r="F281" t="s">
        <v>174</v>
      </c>
      <c r="G281" s="35" t="str">
        <f>B50</f>
        <v>electricity, low voltage</v>
      </c>
    </row>
    <row r="282" spans="1:8" x14ac:dyDescent="0.35">
      <c r="A282" s="35" t="s">
        <v>282</v>
      </c>
      <c r="B282" s="35">
        <f>Sheet1!L40</f>
        <v>1.03093659171436</v>
      </c>
      <c r="C282" t="s">
        <v>31</v>
      </c>
      <c r="D282" t="s">
        <v>119</v>
      </c>
      <c r="F282" t="s">
        <v>134</v>
      </c>
      <c r="G282" s="35" t="s">
        <v>237</v>
      </c>
      <c r="H282" s="35" t="s">
        <v>243</v>
      </c>
    </row>
    <row r="283" spans="1:8" s="35" customFormat="1" x14ac:dyDescent="0.35">
      <c r="A283" s="35" t="s">
        <v>280</v>
      </c>
      <c r="B283" s="35">
        <f>Sheet1!L41</f>
        <v>3.0698133930844199E-2</v>
      </c>
      <c r="C283" t="s">
        <v>31</v>
      </c>
      <c r="D283" t="s">
        <v>119</v>
      </c>
      <c r="E283"/>
      <c r="F283" t="s">
        <v>134</v>
      </c>
      <c r="G283" t="s">
        <v>152</v>
      </c>
      <c r="H283" s="35" t="s">
        <v>243</v>
      </c>
    </row>
    <row r="284" spans="1:8" x14ac:dyDescent="0.35">
      <c r="A284" t="s">
        <v>129</v>
      </c>
      <c r="B284" s="35">
        <f>Sheet1!AL32</f>
        <v>8.7404880965322298E-8</v>
      </c>
      <c r="C284" t="s">
        <v>127</v>
      </c>
      <c r="D284" t="s">
        <v>138</v>
      </c>
      <c r="F284" t="s">
        <v>134</v>
      </c>
      <c r="G284" t="s">
        <v>153</v>
      </c>
    </row>
    <row r="286" spans="1:8" x14ac:dyDescent="0.35">
      <c r="A286" s="36" t="s">
        <v>19</v>
      </c>
      <c r="B286" s="35" t="s">
        <v>283</v>
      </c>
    </row>
    <row r="287" spans="1:8" x14ac:dyDescent="0.35">
      <c r="A287" t="s">
        <v>20</v>
      </c>
      <c r="B287" s="35">
        <v>1</v>
      </c>
    </row>
    <row r="288" spans="1:8" x14ac:dyDescent="0.35">
      <c r="A288" t="s">
        <v>21</v>
      </c>
      <c r="B288" s="35" t="s">
        <v>341</v>
      </c>
    </row>
    <row r="289" spans="1:8" x14ac:dyDescent="0.35">
      <c r="A289" t="s">
        <v>22</v>
      </c>
      <c r="B289" s="35" t="s">
        <v>151</v>
      </c>
    </row>
    <row r="290" spans="1:8" x14ac:dyDescent="0.35">
      <c r="A290" t="s">
        <v>23</v>
      </c>
      <c r="B290" s="35" t="s">
        <v>31</v>
      </c>
    </row>
    <row r="291" spans="1:8" x14ac:dyDescent="0.35">
      <c r="A291" t="s">
        <v>24</v>
      </c>
      <c r="B291" s="35" t="s">
        <v>119</v>
      </c>
    </row>
    <row r="292" spans="1:8" x14ac:dyDescent="0.35">
      <c r="A292" t="s">
        <v>25</v>
      </c>
    </row>
    <row r="293" spans="1:8" x14ac:dyDescent="0.35">
      <c r="A293" t="s">
        <v>26</v>
      </c>
      <c r="B293" s="35" t="s">
        <v>27</v>
      </c>
      <c r="C293" t="s">
        <v>23</v>
      </c>
      <c r="D293" t="s">
        <v>24</v>
      </c>
      <c r="E293" t="s">
        <v>28</v>
      </c>
      <c r="F293" t="s">
        <v>29</v>
      </c>
      <c r="G293" t="s">
        <v>22</v>
      </c>
      <c r="H293" t="s">
        <v>21</v>
      </c>
    </row>
    <row r="294" spans="1:8" x14ac:dyDescent="0.35">
      <c r="A294" s="35" t="str">
        <f>B286</f>
        <v>market for electricity, high voltage N03</v>
      </c>
      <c r="B294" s="35">
        <v>1</v>
      </c>
      <c r="C294" t="s">
        <v>31</v>
      </c>
      <c r="D294" t="s">
        <v>119</v>
      </c>
      <c r="F294" t="s">
        <v>174</v>
      </c>
      <c r="G294" s="35" t="str">
        <f>B9</f>
        <v>electricity, high voltage</v>
      </c>
    </row>
    <row r="295" spans="1:8" x14ac:dyDescent="0.35">
      <c r="A295" s="35" t="s">
        <v>283</v>
      </c>
      <c r="B295" s="35">
        <f>Sheet1!L37</f>
        <v>3.1242684515255099E-2</v>
      </c>
      <c r="C295" t="s">
        <v>31</v>
      </c>
      <c r="D295" t="s">
        <v>119</v>
      </c>
      <c r="F295" t="s">
        <v>134</v>
      </c>
      <c r="G295" t="s">
        <v>151</v>
      </c>
      <c r="H295" t="s">
        <v>244</v>
      </c>
    </row>
    <row r="296" spans="1:8" x14ac:dyDescent="0.35">
      <c r="A296" t="s">
        <v>132</v>
      </c>
      <c r="B296" s="35">
        <f>Nuclear!E8</f>
        <v>0.21260620673818195</v>
      </c>
      <c r="C296" t="s">
        <v>31</v>
      </c>
      <c r="D296" t="s">
        <v>119</v>
      </c>
      <c r="F296" t="s">
        <v>134</v>
      </c>
      <c r="G296" t="s">
        <v>151</v>
      </c>
    </row>
    <row r="297" spans="1:8" x14ac:dyDescent="0.35">
      <c r="A297" t="s">
        <v>344</v>
      </c>
      <c r="B297" s="35">
        <f>Nuclear!G8</f>
        <v>0.26974768723550835</v>
      </c>
      <c r="C297" t="s">
        <v>31</v>
      </c>
      <c r="D297" t="s">
        <v>119</v>
      </c>
      <c r="F297" t="s">
        <v>134</v>
      </c>
      <c r="G297" t="s">
        <v>151</v>
      </c>
    </row>
    <row r="298" spans="1:8" x14ac:dyDescent="0.35">
      <c r="A298" t="s">
        <v>91</v>
      </c>
      <c r="B298" s="35">
        <f>hydro!L13</f>
        <v>1.429500783970538E-2</v>
      </c>
      <c r="C298" t="s">
        <v>31</v>
      </c>
      <c r="D298" t="s">
        <v>119</v>
      </c>
      <c r="F298" t="s">
        <v>134</v>
      </c>
      <c r="G298" t="s">
        <v>151</v>
      </c>
    </row>
    <row r="299" spans="1:8" x14ac:dyDescent="0.35">
      <c r="A299" t="s">
        <v>92</v>
      </c>
      <c r="B299" s="35">
        <f>hydro!L14</f>
        <v>7.5050898075066791E-2</v>
      </c>
      <c r="C299" t="s">
        <v>31</v>
      </c>
      <c r="D299" t="s">
        <v>119</v>
      </c>
      <c r="F299" t="s">
        <v>134</v>
      </c>
      <c r="G299" t="s">
        <v>151</v>
      </c>
    </row>
    <row r="300" spans="1:8" x14ac:dyDescent="0.35">
      <c r="A300" t="s">
        <v>97</v>
      </c>
      <c r="B300" s="35">
        <f>Wind!L13</f>
        <v>0.11563583523094158</v>
      </c>
      <c r="C300" t="s">
        <v>31</v>
      </c>
      <c r="D300" t="s">
        <v>119</v>
      </c>
      <c r="F300" t="s">
        <v>134</v>
      </c>
      <c r="G300" t="s">
        <v>151</v>
      </c>
    </row>
    <row r="301" spans="1:8" x14ac:dyDescent="0.35">
      <c r="A301" s="9" t="s">
        <v>131</v>
      </c>
      <c r="B301" s="35">
        <f>Wind!L14</f>
        <v>7.4317552867022825E-3</v>
      </c>
      <c r="C301" t="s">
        <v>31</v>
      </c>
      <c r="D301" t="s">
        <v>119</v>
      </c>
      <c r="F301" t="s">
        <v>134</v>
      </c>
      <c r="G301" t="s">
        <v>151</v>
      </c>
    </row>
    <row r="302" spans="1:8" x14ac:dyDescent="0.35">
      <c r="A302" t="s">
        <v>123</v>
      </c>
      <c r="B302" s="35">
        <f>Wind!L15</f>
        <v>4.7770522096457144E-4</v>
      </c>
      <c r="C302" t="s">
        <v>31</v>
      </c>
      <c r="D302" t="s">
        <v>119</v>
      </c>
      <c r="F302" t="s">
        <v>134</v>
      </c>
      <c r="G302" t="s">
        <v>151</v>
      </c>
    </row>
    <row r="303" spans="1:8" x14ac:dyDescent="0.35">
      <c r="A303" t="s">
        <v>96</v>
      </c>
      <c r="B303" s="35">
        <f>Wind!L26</f>
        <v>4.8842428566742119E-2</v>
      </c>
      <c r="C303" t="s">
        <v>31</v>
      </c>
      <c r="D303" t="s">
        <v>119</v>
      </c>
      <c r="F303" t="s">
        <v>134</v>
      </c>
      <c r="G303" t="s">
        <v>151</v>
      </c>
    </row>
    <row r="304" spans="1:8" x14ac:dyDescent="0.35">
      <c r="A304" t="s">
        <v>96</v>
      </c>
      <c r="B304" s="35">
        <f>Wind!L27</f>
        <v>6.2163090903126335E-2</v>
      </c>
      <c r="C304" t="s">
        <v>31</v>
      </c>
      <c r="D304" t="s">
        <v>119</v>
      </c>
      <c r="F304" t="s">
        <v>134</v>
      </c>
      <c r="G304" t="s">
        <v>151</v>
      </c>
      <c r="H304" t="s">
        <v>162</v>
      </c>
    </row>
    <row r="305" spans="1:8" x14ac:dyDescent="0.35">
      <c r="A305" s="10" t="s">
        <v>136</v>
      </c>
      <c r="B305" s="35">
        <f>Biogas!F11</f>
        <v>1.396475084473313E-2</v>
      </c>
      <c r="C305" t="s">
        <v>31</v>
      </c>
      <c r="D305" t="s">
        <v>119</v>
      </c>
      <c r="F305" t="s">
        <v>134</v>
      </c>
      <c r="G305" t="s">
        <v>151</v>
      </c>
    </row>
    <row r="306" spans="1:8" x14ac:dyDescent="0.35">
      <c r="A306" t="s">
        <v>284</v>
      </c>
      <c r="B306" s="35">
        <f>Sheet1!AJ32*2</f>
        <v>4.5884181346980288E-2</v>
      </c>
      <c r="C306" t="s">
        <v>31</v>
      </c>
      <c r="D306" t="s">
        <v>119</v>
      </c>
      <c r="F306" t="s">
        <v>134</v>
      </c>
      <c r="G306" t="s">
        <v>151</v>
      </c>
      <c r="H306" t="s">
        <v>342</v>
      </c>
    </row>
    <row r="307" spans="1:8" x14ac:dyDescent="0.35">
      <c r="A307" t="s">
        <v>94</v>
      </c>
      <c r="B307" s="35">
        <f>Sheet1!X32</f>
        <v>0.12212032116261523</v>
      </c>
      <c r="C307" t="s">
        <v>31</v>
      </c>
      <c r="D307" t="s">
        <v>119</v>
      </c>
      <c r="F307" t="s">
        <v>134</v>
      </c>
      <c r="G307" t="s">
        <v>152</v>
      </c>
    </row>
    <row r="308" spans="1:8" x14ac:dyDescent="0.35">
      <c r="A308" s="35" t="s">
        <v>285</v>
      </c>
      <c r="B308" s="35">
        <f>Sheet1!AI32</f>
        <v>3.4722222222222224E-2</v>
      </c>
      <c r="C308" t="s">
        <v>118</v>
      </c>
      <c r="D308" t="s">
        <v>119</v>
      </c>
      <c r="F308" t="s">
        <v>134</v>
      </c>
      <c r="G308" t="s">
        <v>151</v>
      </c>
      <c r="H308" t="s">
        <v>243</v>
      </c>
    </row>
    <row r="309" spans="1:8" x14ac:dyDescent="0.35">
      <c r="A309" t="s">
        <v>125</v>
      </c>
      <c r="B309" s="35">
        <f>Sheet1!AL28</f>
        <v>5.65463552361011E-9</v>
      </c>
      <c r="C309" t="s">
        <v>127</v>
      </c>
      <c r="D309" t="s">
        <v>138</v>
      </c>
      <c r="F309" t="s">
        <v>134</v>
      </c>
      <c r="G309" t="s">
        <v>101</v>
      </c>
      <c r="H309" t="s">
        <v>243</v>
      </c>
    </row>
    <row r="310" spans="1:8" x14ac:dyDescent="0.35">
      <c r="A310" t="s">
        <v>124</v>
      </c>
      <c r="B310" s="35">
        <f>Sheet1!AL29</f>
        <v>3.8616897390338299E-10</v>
      </c>
      <c r="C310" t="s">
        <v>127</v>
      </c>
      <c r="D310" t="s">
        <v>138</v>
      </c>
      <c r="F310" t="s">
        <v>134</v>
      </c>
      <c r="G310" t="s">
        <v>102</v>
      </c>
      <c r="H310" t="s">
        <v>243</v>
      </c>
    </row>
    <row r="311" spans="1:8" x14ac:dyDescent="0.35">
      <c r="A311" t="s">
        <v>157</v>
      </c>
      <c r="B311" s="35">
        <f>Sheet1!AL30</f>
        <v>3.4744697665053399E-12</v>
      </c>
      <c r="C311" t="s">
        <v>127</v>
      </c>
      <c r="D311" t="s">
        <v>138</v>
      </c>
      <c r="F311" t="s">
        <v>134</v>
      </c>
      <c r="G311" t="s">
        <v>103</v>
      </c>
    </row>
    <row r="313" spans="1:8" x14ac:dyDescent="0.35">
      <c r="A313" s="35"/>
      <c r="F313" s="35"/>
    </row>
    <row r="314" spans="1:8" x14ac:dyDescent="0.35">
      <c r="A314" s="36" t="s">
        <v>19</v>
      </c>
      <c r="B314" s="35" t="s">
        <v>286</v>
      </c>
    </row>
    <row r="315" spans="1:8" x14ac:dyDescent="0.35">
      <c r="A315" t="s">
        <v>20</v>
      </c>
      <c r="B315" s="35">
        <v>1</v>
      </c>
    </row>
    <row r="316" spans="1:8" x14ac:dyDescent="0.35">
      <c r="A316" t="s">
        <v>21</v>
      </c>
      <c r="B316" s="35" t="s">
        <v>245</v>
      </c>
    </row>
    <row r="317" spans="1:8" x14ac:dyDescent="0.35">
      <c r="A317" t="s">
        <v>22</v>
      </c>
      <c r="B317" s="35" t="s">
        <v>237</v>
      </c>
    </row>
    <row r="318" spans="1:8" x14ac:dyDescent="0.35">
      <c r="A318" t="s">
        <v>23</v>
      </c>
      <c r="B318" s="35" t="s">
        <v>31</v>
      </c>
    </row>
    <row r="319" spans="1:8" x14ac:dyDescent="0.35">
      <c r="A319" t="s">
        <v>24</v>
      </c>
      <c r="B319" s="35" t="s">
        <v>119</v>
      </c>
    </row>
    <row r="320" spans="1:8" x14ac:dyDescent="0.35">
      <c r="A320" t="s">
        <v>25</v>
      </c>
      <c r="H320" t="s">
        <v>21</v>
      </c>
    </row>
    <row r="321" spans="1:8" x14ac:dyDescent="0.35">
      <c r="A321" t="s">
        <v>26</v>
      </c>
      <c r="B321" s="35" t="s">
        <v>27</v>
      </c>
      <c r="C321" t="s">
        <v>23</v>
      </c>
      <c r="D321" t="s">
        <v>24</v>
      </c>
      <c r="E321" t="s">
        <v>28</v>
      </c>
      <c r="F321" t="s">
        <v>29</v>
      </c>
      <c r="G321" t="s">
        <v>22</v>
      </c>
    </row>
    <row r="322" spans="1:8" x14ac:dyDescent="0.35">
      <c r="A322" s="35" t="str">
        <f>B314</f>
        <v>market for electricity, medium voltage N03</v>
      </c>
      <c r="B322" s="35">
        <v>1</v>
      </c>
      <c r="C322" t="s">
        <v>31</v>
      </c>
      <c r="D322" t="s">
        <v>119</v>
      </c>
      <c r="F322" t="s">
        <v>174</v>
      </c>
      <c r="G322" s="35" t="str">
        <f>B35</f>
        <v>electricity, medium voltage</v>
      </c>
      <c r="H322" s="35" t="s">
        <v>243</v>
      </c>
    </row>
    <row r="323" spans="1:8" x14ac:dyDescent="0.35">
      <c r="A323" s="35" t="s">
        <v>283</v>
      </c>
      <c r="B323" s="35">
        <f>Sheet1!L38</f>
        <v>1.00670440632908</v>
      </c>
      <c r="C323" t="s">
        <v>31</v>
      </c>
      <c r="D323" t="s">
        <v>119</v>
      </c>
      <c r="F323" t="s">
        <v>134</v>
      </c>
      <c r="G323" s="35" t="s">
        <v>151</v>
      </c>
      <c r="H323" s="35" t="s">
        <v>243</v>
      </c>
    </row>
    <row r="324" spans="1:8" x14ac:dyDescent="0.35">
      <c r="A324" s="35" t="s">
        <v>286</v>
      </c>
      <c r="B324" s="35">
        <f>Sheet1!L39</f>
        <v>4.2098906369769902E-3</v>
      </c>
      <c r="C324" t="s">
        <v>31</v>
      </c>
      <c r="D324" t="s">
        <v>119</v>
      </c>
      <c r="F324" t="s">
        <v>134</v>
      </c>
      <c r="G324" s="35" t="s">
        <v>237</v>
      </c>
    </row>
    <row r="325" spans="1:8" x14ac:dyDescent="0.35">
      <c r="A325" t="s">
        <v>128</v>
      </c>
      <c r="B325" s="35">
        <f>Sheet1!AL31</f>
        <v>1.86277676887616E-8</v>
      </c>
      <c r="C325" t="s">
        <v>127</v>
      </c>
      <c r="D325" t="s">
        <v>138</v>
      </c>
      <c r="F325" t="s">
        <v>134</v>
      </c>
      <c r="G325" t="s">
        <v>155</v>
      </c>
    </row>
    <row r="326" spans="1:8" x14ac:dyDescent="0.35">
      <c r="A326" t="s">
        <v>126</v>
      </c>
      <c r="B326" s="35">
        <f>Sheet1!Q29</f>
        <v>5.4E-8</v>
      </c>
      <c r="C326" t="s">
        <v>118</v>
      </c>
      <c r="D326" t="s">
        <v>139</v>
      </c>
      <c r="F326" t="s">
        <v>134</v>
      </c>
      <c r="G326" t="s">
        <v>154</v>
      </c>
    </row>
    <row r="329" spans="1:8" x14ac:dyDescent="0.35">
      <c r="A329" s="36" t="s">
        <v>19</v>
      </c>
      <c r="B329" s="35" t="s">
        <v>284</v>
      </c>
    </row>
    <row r="330" spans="1:8" x14ac:dyDescent="0.35">
      <c r="A330" t="s">
        <v>20</v>
      </c>
      <c r="B330" s="35">
        <v>1</v>
      </c>
    </row>
    <row r="331" spans="1:8" x14ac:dyDescent="0.35">
      <c r="A331" t="s">
        <v>21</v>
      </c>
      <c r="B331" s="35" t="s">
        <v>120</v>
      </c>
    </row>
    <row r="332" spans="1:8" x14ac:dyDescent="0.35">
      <c r="A332" t="s">
        <v>22</v>
      </c>
      <c r="B332" s="35" t="s">
        <v>152</v>
      </c>
    </row>
    <row r="333" spans="1:8" x14ac:dyDescent="0.35">
      <c r="A333" t="s">
        <v>23</v>
      </c>
      <c r="B333" s="35" t="s">
        <v>31</v>
      </c>
    </row>
    <row r="334" spans="1:8" x14ac:dyDescent="0.35">
      <c r="A334" t="s">
        <v>24</v>
      </c>
      <c r="B334" s="35" t="s">
        <v>119</v>
      </c>
    </row>
    <row r="335" spans="1:8" x14ac:dyDescent="0.35">
      <c r="A335" t="s">
        <v>25</v>
      </c>
      <c r="H335" t="s">
        <v>21</v>
      </c>
    </row>
    <row r="336" spans="1:8" x14ac:dyDescent="0.35">
      <c r="A336" t="s">
        <v>26</v>
      </c>
      <c r="B336" s="35" t="s">
        <v>27</v>
      </c>
      <c r="C336" t="s">
        <v>23</v>
      </c>
      <c r="D336" t="s">
        <v>24</v>
      </c>
      <c r="E336" t="s">
        <v>28</v>
      </c>
      <c r="F336" t="s">
        <v>29</v>
      </c>
      <c r="G336" t="s">
        <v>22</v>
      </c>
    </row>
    <row r="337" spans="1:8" x14ac:dyDescent="0.35">
      <c r="A337" s="35" t="str">
        <f>B329</f>
        <v>market for electricity, low voltage N03</v>
      </c>
      <c r="B337" s="35">
        <v>1</v>
      </c>
      <c r="C337" t="s">
        <v>31</v>
      </c>
      <c r="D337" t="s">
        <v>119</v>
      </c>
      <c r="F337" t="s">
        <v>174</v>
      </c>
      <c r="G337" s="35" t="str">
        <f>B50</f>
        <v>electricity, low voltage</v>
      </c>
      <c r="H337" s="35" t="s">
        <v>243</v>
      </c>
    </row>
    <row r="338" spans="1:8" s="35" customFormat="1" x14ac:dyDescent="0.35">
      <c r="A338" s="35" t="s">
        <v>286</v>
      </c>
      <c r="B338" s="35">
        <f>Sheet1!L40</f>
        <v>1.03093659171436</v>
      </c>
      <c r="C338" t="s">
        <v>31</v>
      </c>
      <c r="D338" t="s">
        <v>119</v>
      </c>
      <c r="E338"/>
      <c r="F338" t="s">
        <v>134</v>
      </c>
      <c r="G338" s="35" t="s">
        <v>237</v>
      </c>
      <c r="H338" s="35" t="s">
        <v>243</v>
      </c>
    </row>
    <row r="339" spans="1:8" x14ac:dyDescent="0.35">
      <c r="A339" s="35" t="s">
        <v>284</v>
      </c>
      <c r="B339" s="35">
        <f>Sheet1!L41</f>
        <v>3.0698133930844199E-2</v>
      </c>
      <c r="C339" t="s">
        <v>31</v>
      </c>
      <c r="D339" t="s">
        <v>119</v>
      </c>
      <c r="F339" t="s">
        <v>134</v>
      </c>
      <c r="G339" t="s">
        <v>152</v>
      </c>
    </row>
    <row r="340" spans="1:8" x14ac:dyDescent="0.35">
      <c r="A340" t="s">
        <v>129</v>
      </c>
      <c r="B340" s="35">
        <f>Sheet1!AL32</f>
        <v>8.7404880965322298E-8</v>
      </c>
      <c r="C340" t="s">
        <v>127</v>
      </c>
      <c r="D340" t="s">
        <v>138</v>
      </c>
      <c r="F340" t="s">
        <v>134</v>
      </c>
      <c r="G340" t="s">
        <v>153</v>
      </c>
    </row>
    <row r="341" spans="1:8" s="45" customFormat="1" x14ac:dyDescent="0.35">
      <c r="A341"/>
      <c r="B341" s="35"/>
      <c r="C341"/>
      <c r="D341"/>
      <c r="E341"/>
      <c r="F341"/>
      <c r="G341"/>
    </row>
    <row r="342" spans="1:8" x14ac:dyDescent="0.35">
      <c r="A342" s="45"/>
      <c r="B342" s="46"/>
      <c r="C342" s="45"/>
      <c r="D342" s="45"/>
      <c r="E342" s="45"/>
      <c r="F342" s="45"/>
      <c r="G342" s="45"/>
    </row>
    <row r="344" spans="1:8" x14ac:dyDescent="0.35">
      <c r="A344" s="36" t="s">
        <v>19</v>
      </c>
      <c r="B344" s="35" t="s">
        <v>265</v>
      </c>
    </row>
    <row r="345" spans="1:8" x14ac:dyDescent="0.35">
      <c r="A345" t="s">
        <v>20</v>
      </c>
      <c r="B345" s="35">
        <v>1</v>
      </c>
    </row>
    <row r="346" spans="1:8" x14ac:dyDescent="0.35">
      <c r="A346" t="s">
        <v>21</v>
      </c>
      <c r="B346" s="35" t="s">
        <v>120</v>
      </c>
    </row>
    <row r="347" spans="1:8" x14ac:dyDescent="0.35">
      <c r="A347" t="s">
        <v>22</v>
      </c>
      <c r="B347" s="35" t="s">
        <v>151</v>
      </c>
    </row>
    <row r="348" spans="1:8" x14ac:dyDescent="0.35">
      <c r="A348" t="s">
        <v>23</v>
      </c>
      <c r="B348" s="35" t="s">
        <v>118</v>
      </c>
    </row>
    <row r="349" spans="1:8" x14ac:dyDescent="0.35">
      <c r="A349" t="s">
        <v>24</v>
      </c>
      <c r="B349" s="35" t="s">
        <v>119</v>
      </c>
    </row>
    <row r="350" spans="1:8" x14ac:dyDescent="0.35">
      <c r="A350" t="s">
        <v>25</v>
      </c>
      <c r="H350" t="s">
        <v>21</v>
      </c>
    </row>
    <row r="351" spans="1:8" x14ac:dyDescent="0.35">
      <c r="A351" t="s">
        <v>26</v>
      </c>
      <c r="B351" s="35" t="s">
        <v>27</v>
      </c>
      <c r="C351" t="s">
        <v>23</v>
      </c>
      <c r="D351" t="s">
        <v>24</v>
      </c>
      <c r="E351" t="s">
        <v>28</v>
      </c>
      <c r="F351" t="s">
        <v>29</v>
      </c>
      <c r="G351" t="s">
        <v>22</v>
      </c>
    </row>
    <row r="352" spans="1:8" x14ac:dyDescent="0.35">
      <c r="A352" s="35" t="str">
        <f>B344</f>
        <v>market group for neighbours, low voltage M0</v>
      </c>
      <c r="B352" s="35">
        <v>1</v>
      </c>
      <c r="C352" t="s">
        <v>118</v>
      </c>
      <c r="D352" t="s">
        <v>119</v>
      </c>
      <c r="F352" t="s">
        <v>174</v>
      </c>
      <c r="G352" s="35" t="str">
        <f>B347</f>
        <v>electricity, high voltage</v>
      </c>
    </row>
    <row r="353" spans="1:8" x14ac:dyDescent="0.35">
      <c r="A353" t="s">
        <v>287</v>
      </c>
      <c r="B353" s="35">
        <f>imports!E10</f>
        <v>6.050813248676562E-2</v>
      </c>
      <c r="C353" t="s">
        <v>168</v>
      </c>
      <c r="D353" t="s">
        <v>119</v>
      </c>
      <c r="F353" t="s">
        <v>134</v>
      </c>
      <c r="G353" t="s">
        <v>151</v>
      </c>
    </row>
    <row r="354" spans="1:8" x14ac:dyDescent="0.35">
      <c r="A354" t="s">
        <v>288</v>
      </c>
      <c r="B354" s="35">
        <f>imports!E11</f>
        <v>4.5342204167799667E-2</v>
      </c>
      <c r="C354" t="s">
        <v>169</v>
      </c>
      <c r="D354" t="s">
        <v>119</v>
      </c>
      <c r="F354" t="s">
        <v>134</v>
      </c>
      <c r="G354" t="s">
        <v>151</v>
      </c>
    </row>
    <row r="355" spans="1:8" x14ac:dyDescent="0.35">
      <c r="A355" t="s">
        <v>289</v>
      </c>
      <c r="B355" s="35">
        <f>imports!E12</f>
        <v>0.15788865610056449</v>
      </c>
      <c r="C355" t="s">
        <v>170</v>
      </c>
      <c r="D355" t="s">
        <v>119</v>
      </c>
      <c r="F355" t="s">
        <v>134</v>
      </c>
      <c r="G355" t="s">
        <v>151</v>
      </c>
    </row>
    <row r="356" spans="1:8" x14ac:dyDescent="0.35">
      <c r="A356" t="s">
        <v>173</v>
      </c>
      <c r="B356" s="35">
        <f>imports!E13</f>
        <v>0.29308119692292922</v>
      </c>
      <c r="C356" t="s">
        <v>31</v>
      </c>
      <c r="D356" t="s">
        <v>119</v>
      </c>
      <c r="F356" t="s">
        <v>134</v>
      </c>
      <c r="G356" t="s">
        <v>151</v>
      </c>
    </row>
    <row r="357" spans="1:8" x14ac:dyDescent="0.35">
      <c r="A357" t="s">
        <v>290</v>
      </c>
      <c r="B357" s="35">
        <f>imports!E14</f>
        <v>0.2445273241959475</v>
      </c>
      <c r="C357" t="s">
        <v>12</v>
      </c>
      <c r="D357" t="s">
        <v>119</v>
      </c>
      <c r="F357" t="s">
        <v>134</v>
      </c>
      <c r="G357" t="s">
        <v>151</v>
      </c>
    </row>
    <row r="358" spans="1:8" x14ac:dyDescent="0.35">
      <c r="A358" t="s">
        <v>291</v>
      </c>
      <c r="B358" s="35">
        <f>imports!E15</f>
        <v>0.19865248612599359</v>
      </c>
      <c r="C358" t="s">
        <v>171</v>
      </c>
      <c r="D358" t="s">
        <v>119</v>
      </c>
      <c r="F358" t="s">
        <v>134</v>
      </c>
      <c r="G358" t="s">
        <v>151</v>
      </c>
    </row>
    <row r="361" spans="1:8" x14ac:dyDescent="0.35">
      <c r="A361" s="36" t="s">
        <v>19</v>
      </c>
      <c r="B361" s="35" t="s">
        <v>330</v>
      </c>
    </row>
    <row r="362" spans="1:8" x14ac:dyDescent="0.35">
      <c r="A362" t="s">
        <v>20</v>
      </c>
      <c r="B362" s="35">
        <v>1</v>
      </c>
    </row>
    <row r="363" spans="1:8" x14ac:dyDescent="0.35">
      <c r="A363" t="s">
        <v>21</v>
      </c>
      <c r="B363" s="35" t="s">
        <v>120</v>
      </c>
    </row>
    <row r="364" spans="1:8" x14ac:dyDescent="0.35">
      <c r="A364" t="s">
        <v>22</v>
      </c>
      <c r="B364" s="35" t="s">
        <v>151</v>
      </c>
    </row>
    <row r="365" spans="1:8" x14ac:dyDescent="0.35">
      <c r="A365" t="s">
        <v>23</v>
      </c>
      <c r="B365" s="35" t="s">
        <v>118</v>
      </c>
    </row>
    <row r="366" spans="1:8" x14ac:dyDescent="0.35">
      <c r="A366" t="s">
        <v>24</v>
      </c>
      <c r="B366" s="35" t="s">
        <v>119</v>
      </c>
    </row>
    <row r="367" spans="1:8" x14ac:dyDescent="0.35">
      <c r="A367" t="s">
        <v>25</v>
      </c>
      <c r="H367" t="s">
        <v>21</v>
      </c>
    </row>
    <row r="368" spans="1:8" x14ac:dyDescent="0.35">
      <c r="A368" t="s">
        <v>26</v>
      </c>
      <c r="B368" s="35" t="s">
        <v>27</v>
      </c>
      <c r="C368" t="s">
        <v>23</v>
      </c>
      <c r="D368" t="s">
        <v>24</v>
      </c>
      <c r="E368" t="s">
        <v>28</v>
      </c>
      <c r="F368" t="s">
        <v>29</v>
      </c>
      <c r="G368" t="s">
        <v>22</v>
      </c>
    </row>
    <row r="369" spans="1:8" x14ac:dyDescent="0.35">
      <c r="A369" s="35" t="str">
        <f>B361</f>
        <v xml:space="preserve">market group for neighbours, low voltage M1 </v>
      </c>
      <c r="B369" s="35">
        <v>1</v>
      </c>
      <c r="C369" t="s">
        <v>118</v>
      </c>
      <c r="D369" t="s">
        <v>119</v>
      </c>
      <c r="F369" t="s">
        <v>174</v>
      </c>
      <c r="G369" s="35" t="str">
        <f>B364</f>
        <v>electricity, high voltage</v>
      </c>
    </row>
    <row r="370" spans="1:8" x14ac:dyDescent="0.35">
      <c r="A370" t="s">
        <v>292</v>
      </c>
      <c r="B370" s="35">
        <f>imports!E10</f>
        <v>6.050813248676562E-2</v>
      </c>
      <c r="C370" t="s">
        <v>168</v>
      </c>
      <c r="D370" t="s">
        <v>119</v>
      </c>
      <c r="F370" t="s">
        <v>134</v>
      </c>
      <c r="G370" t="s">
        <v>151</v>
      </c>
    </row>
    <row r="371" spans="1:8" x14ac:dyDescent="0.35">
      <c r="A371" t="s">
        <v>293</v>
      </c>
      <c r="B371" s="35">
        <f>imports!E11</f>
        <v>4.5342204167799667E-2</v>
      </c>
      <c r="C371" t="s">
        <v>169</v>
      </c>
      <c r="D371" t="s">
        <v>119</v>
      </c>
      <c r="F371" t="s">
        <v>134</v>
      </c>
      <c r="G371" t="s">
        <v>151</v>
      </c>
    </row>
    <row r="372" spans="1:8" x14ac:dyDescent="0.35">
      <c r="A372" t="s">
        <v>294</v>
      </c>
      <c r="B372" s="35">
        <f>imports!E12</f>
        <v>0.15788865610056449</v>
      </c>
      <c r="C372" t="s">
        <v>170</v>
      </c>
      <c r="D372" t="s">
        <v>119</v>
      </c>
      <c r="F372" t="s">
        <v>134</v>
      </c>
      <c r="G372" t="s">
        <v>151</v>
      </c>
    </row>
    <row r="373" spans="1:8" x14ac:dyDescent="0.35">
      <c r="A373" t="s">
        <v>173</v>
      </c>
      <c r="B373" s="35">
        <f>imports!E13</f>
        <v>0.29308119692292922</v>
      </c>
      <c r="C373" t="s">
        <v>31</v>
      </c>
      <c r="D373" t="s">
        <v>119</v>
      </c>
      <c r="F373" t="s">
        <v>134</v>
      </c>
      <c r="G373" t="s">
        <v>151</v>
      </c>
    </row>
    <row r="374" spans="1:8" x14ac:dyDescent="0.35">
      <c r="A374" t="s">
        <v>295</v>
      </c>
      <c r="B374" s="35">
        <f>imports!E14</f>
        <v>0.2445273241959475</v>
      </c>
      <c r="C374" t="s">
        <v>12</v>
      </c>
      <c r="D374" t="s">
        <v>119</v>
      </c>
      <c r="F374" t="s">
        <v>134</v>
      </c>
      <c r="G374" t="s">
        <v>151</v>
      </c>
    </row>
    <row r="375" spans="1:8" x14ac:dyDescent="0.35">
      <c r="A375" t="s">
        <v>296</v>
      </c>
      <c r="B375" s="35">
        <f>imports!E15</f>
        <v>0.19865248612599359</v>
      </c>
      <c r="C375" t="s">
        <v>171</v>
      </c>
      <c r="D375" t="s">
        <v>119</v>
      </c>
      <c r="F375" t="s">
        <v>134</v>
      </c>
      <c r="G375" t="s">
        <v>151</v>
      </c>
    </row>
    <row r="377" spans="1:8" x14ac:dyDescent="0.35">
      <c r="A377" s="36" t="s">
        <v>19</v>
      </c>
      <c r="B377" s="35" t="s">
        <v>297</v>
      </c>
    </row>
    <row r="378" spans="1:8" x14ac:dyDescent="0.35">
      <c r="A378" t="s">
        <v>20</v>
      </c>
      <c r="B378" s="35">
        <v>1</v>
      </c>
    </row>
    <row r="379" spans="1:8" x14ac:dyDescent="0.35">
      <c r="A379" t="s">
        <v>21</v>
      </c>
      <c r="B379" s="35" t="s">
        <v>120</v>
      </c>
    </row>
    <row r="380" spans="1:8" x14ac:dyDescent="0.35">
      <c r="A380" t="s">
        <v>22</v>
      </c>
      <c r="B380" s="35" t="s">
        <v>151</v>
      </c>
    </row>
    <row r="381" spans="1:8" x14ac:dyDescent="0.35">
      <c r="A381" t="s">
        <v>23</v>
      </c>
      <c r="B381" s="35" t="s">
        <v>118</v>
      </c>
    </row>
    <row r="382" spans="1:8" x14ac:dyDescent="0.35">
      <c r="A382" t="s">
        <v>24</v>
      </c>
      <c r="B382" s="35" t="s">
        <v>119</v>
      </c>
    </row>
    <row r="383" spans="1:8" x14ac:dyDescent="0.35">
      <c r="A383" t="s">
        <v>25</v>
      </c>
      <c r="H383" t="s">
        <v>21</v>
      </c>
    </row>
    <row r="384" spans="1:8" x14ac:dyDescent="0.35">
      <c r="A384" t="s">
        <v>26</v>
      </c>
      <c r="B384" s="35" t="s">
        <v>27</v>
      </c>
      <c r="C384" t="s">
        <v>23</v>
      </c>
      <c r="D384" t="s">
        <v>24</v>
      </c>
      <c r="E384" t="s">
        <v>28</v>
      </c>
      <c r="F384" t="s">
        <v>29</v>
      </c>
      <c r="G384" t="s">
        <v>22</v>
      </c>
    </row>
    <row r="385" spans="1:8" x14ac:dyDescent="0.35">
      <c r="A385" s="35" t="str">
        <f>B377</f>
        <v xml:space="preserve">market group for neighbours, low voltage M23 </v>
      </c>
      <c r="B385" s="35">
        <v>1</v>
      </c>
      <c r="C385" t="s">
        <v>118</v>
      </c>
      <c r="D385" t="s">
        <v>119</v>
      </c>
      <c r="F385" t="s">
        <v>174</v>
      </c>
      <c r="G385" s="35" t="str">
        <f>B380</f>
        <v>electricity, high voltage</v>
      </c>
    </row>
    <row r="386" spans="1:8" x14ac:dyDescent="0.35">
      <c r="A386" t="s">
        <v>298</v>
      </c>
      <c r="B386" s="35">
        <f>imports!E10</f>
        <v>6.050813248676562E-2</v>
      </c>
      <c r="C386" t="s">
        <v>168</v>
      </c>
      <c r="D386" t="s">
        <v>119</v>
      </c>
      <c r="F386" t="s">
        <v>134</v>
      </c>
      <c r="G386" t="s">
        <v>151</v>
      </c>
    </row>
    <row r="387" spans="1:8" x14ac:dyDescent="0.35">
      <c r="A387" t="s">
        <v>299</v>
      </c>
      <c r="B387" s="35">
        <f>imports!E11</f>
        <v>4.5342204167799667E-2</v>
      </c>
      <c r="C387" t="s">
        <v>169</v>
      </c>
      <c r="D387" t="s">
        <v>119</v>
      </c>
      <c r="F387" t="s">
        <v>134</v>
      </c>
      <c r="G387" t="s">
        <v>151</v>
      </c>
    </row>
    <row r="388" spans="1:8" x14ac:dyDescent="0.35">
      <c r="A388" t="s">
        <v>300</v>
      </c>
      <c r="B388" s="35">
        <f>imports!E12</f>
        <v>0.15788865610056449</v>
      </c>
      <c r="C388" t="s">
        <v>170</v>
      </c>
      <c r="D388" t="s">
        <v>119</v>
      </c>
      <c r="F388" t="s">
        <v>134</v>
      </c>
      <c r="G388" t="s">
        <v>151</v>
      </c>
    </row>
    <row r="389" spans="1:8" x14ac:dyDescent="0.35">
      <c r="A389" t="s">
        <v>173</v>
      </c>
      <c r="B389" s="35">
        <f>imports!E13</f>
        <v>0.29308119692292922</v>
      </c>
      <c r="C389" t="s">
        <v>31</v>
      </c>
      <c r="D389" t="s">
        <v>119</v>
      </c>
      <c r="F389" t="s">
        <v>134</v>
      </c>
      <c r="G389" t="s">
        <v>151</v>
      </c>
    </row>
    <row r="390" spans="1:8" x14ac:dyDescent="0.35">
      <c r="A390" t="s">
        <v>301</v>
      </c>
      <c r="B390" s="35">
        <f>imports!E14</f>
        <v>0.2445273241959475</v>
      </c>
      <c r="C390" t="s">
        <v>12</v>
      </c>
      <c r="D390" t="s">
        <v>119</v>
      </c>
      <c r="F390" t="s">
        <v>134</v>
      </c>
      <c r="G390" t="s">
        <v>151</v>
      </c>
    </row>
    <row r="391" spans="1:8" x14ac:dyDescent="0.35">
      <c r="A391" t="s">
        <v>302</v>
      </c>
      <c r="B391" s="35">
        <f>imports!E15</f>
        <v>0.19865248612599359</v>
      </c>
      <c r="C391" t="s">
        <v>171</v>
      </c>
      <c r="D391" t="s">
        <v>119</v>
      </c>
      <c r="F391" t="s">
        <v>134</v>
      </c>
      <c r="G391" t="s">
        <v>151</v>
      </c>
    </row>
    <row r="394" spans="1:8" x14ac:dyDescent="0.35">
      <c r="A394" s="36" t="s">
        <v>19</v>
      </c>
      <c r="B394" s="35" t="s">
        <v>303</v>
      </c>
    </row>
    <row r="395" spans="1:8" x14ac:dyDescent="0.35">
      <c r="A395" t="s">
        <v>20</v>
      </c>
      <c r="B395" s="35">
        <v>1</v>
      </c>
    </row>
    <row r="396" spans="1:8" x14ac:dyDescent="0.35">
      <c r="A396" t="s">
        <v>21</v>
      </c>
      <c r="B396" s="35" t="s">
        <v>120</v>
      </c>
    </row>
    <row r="397" spans="1:8" x14ac:dyDescent="0.35">
      <c r="A397" t="s">
        <v>22</v>
      </c>
      <c r="B397" s="35" t="s">
        <v>151</v>
      </c>
    </row>
    <row r="398" spans="1:8" x14ac:dyDescent="0.35">
      <c r="A398" t="s">
        <v>23</v>
      </c>
      <c r="B398" s="35" t="s">
        <v>118</v>
      </c>
    </row>
    <row r="399" spans="1:8" x14ac:dyDescent="0.35">
      <c r="A399" t="s">
        <v>24</v>
      </c>
      <c r="B399" s="35" t="s">
        <v>119</v>
      </c>
    </row>
    <row r="400" spans="1:8" x14ac:dyDescent="0.35">
      <c r="A400" t="s">
        <v>25</v>
      </c>
      <c r="H400" t="s">
        <v>21</v>
      </c>
    </row>
    <row r="401" spans="1:7" x14ac:dyDescent="0.35">
      <c r="A401" t="s">
        <v>26</v>
      </c>
      <c r="B401" s="35" t="s">
        <v>27</v>
      </c>
      <c r="C401" t="s">
        <v>23</v>
      </c>
      <c r="D401" t="s">
        <v>24</v>
      </c>
      <c r="E401" t="s">
        <v>28</v>
      </c>
      <c r="F401" t="s">
        <v>29</v>
      </c>
      <c r="G401" t="s">
        <v>22</v>
      </c>
    </row>
    <row r="402" spans="1:7" x14ac:dyDescent="0.35">
      <c r="A402" s="35" t="str">
        <f>B394</f>
        <v xml:space="preserve">market group for neighbours, low voltage N1 </v>
      </c>
      <c r="B402" s="35">
        <v>1</v>
      </c>
      <c r="C402" t="s">
        <v>118</v>
      </c>
      <c r="D402" t="s">
        <v>119</v>
      </c>
      <c r="F402" t="s">
        <v>174</v>
      </c>
      <c r="G402" s="35" t="str">
        <f>B397</f>
        <v>electricity, high voltage</v>
      </c>
    </row>
    <row r="403" spans="1:7" x14ac:dyDescent="0.35">
      <c r="A403" t="s">
        <v>304</v>
      </c>
      <c r="B403" s="35">
        <f>imports!E10</f>
        <v>6.050813248676562E-2</v>
      </c>
      <c r="C403" t="s">
        <v>168</v>
      </c>
      <c r="D403" t="s">
        <v>119</v>
      </c>
      <c r="F403" t="s">
        <v>134</v>
      </c>
      <c r="G403" t="s">
        <v>151</v>
      </c>
    </row>
    <row r="404" spans="1:7" x14ac:dyDescent="0.35">
      <c r="A404" t="s">
        <v>305</v>
      </c>
      <c r="B404" s="35">
        <f>imports!E11</f>
        <v>4.5342204167799667E-2</v>
      </c>
      <c r="C404" t="s">
        <v>169</v>
      </c>
      <c r="D404" t="s">
        <v>119</v>
      </c>
      <c r="F404" t="s">
        <v>134</v>
      </c>
      <c r="G404" t="s">
        <v>151</v>
      </c>
    </row>
    <row r="405" spans="1:7" x14ac:dyDescent="0.35">
      <c r="A405" t="s">
        <v>306</v>
      </c>
      <c r="B405" s="35">
        <f>imports!E12</f>
        <v>0.15788865610056449</v>
      </c>
      <c r="C405" t="s">
        <v>170</v>
      </c>
      <c r="D405" t="s">
        <v>119</v>
      </c>
      <c r="F405" t="s">
        <v>134</v>
      </c>
      <c r="G405" t="s">
        <v>151</v>
      </c>
    </row>
    <row r="406" spans="1:7" x14ac:dyDescent="0.35">
      <c r="A406" t="s">
        <v>173</v>
      </c>
      <c r="B406" s="35">
        <f>imports!E13</f>
        <v>0.29308119692292922</v>
      </c>
      <c r="C406" t="s">
        <v>31</v>
      </c>
      <c r="D406" t="s">
        <v>119</v>
      </c>
      <c r="F406" t="s">
        <v>134</v>
      </c>
      <c r="G406" t="s">
        <v>151</v>
      </c>
    </row>
    <row r="407" spans="1:7" x14ac:dyDescent="0.35">
      <c r="A407" t="s">
        <v>307</v>
      </c>
      <c r="B407" s="35">
        <f>imports!E14</f>
        <v>0.2445273241959475</v>
      </c>
      <c r="C407" t="s">
        <v>12</v>
      </c>
      <c r="D407" t="s">
        <v>119</v>
      </c>
      <c r="F407" t="s">
        <v>134</v>
      </c>
      <c r="G407" t="s">
        <v>151</v>
      </c>
    </row>
    <row r="408" spans="1:7" x14ac:dyDescent="0.35">
      <c r="A408" t="s">
        <v>308</v>
      </c>
      <c r="B408" s="35">
        <f>imports!E15</f>
        <v>0.19865248612599359</v>
      </c>
      <c r="C408" t="s">
        <v>171</v>
      </c>
      <c r="D408" t="s">
        <v>119</v>
      </c>
      <c r="F408" t="s">
        <v>134</v>
      </c>
      <c r="G408" t="s">
        <v>151</v>
      </c>
    </row>
    <row r="411" spans="1:7" x14ac:dyDescent="0.35">
      <c r="A411" s="36" t="s">
        <v>19</v>
      </c>
      <c r="B411" s="35" t="s">
        <v>309</v>
      </c>
    </row>
    <row r="412" spans="1:7" x14ac:dyDescent="0.35">
      <c r="A412" t="s">
        <v>20</v>
      </c>
      <c r="B412" s="35">
        <v>1</v>
      </c>
    </row>
    <row r="413" spans="1:7" x14ac:dyDescent="0.35">
      <c r="A413" t="s">
        <v>21</v>
      </c>
      <c r="B413" s="35" t="s">
        <v>120</v>
      </c>
    </row>
    <row r="414" spans="1:7" x14ac:dyDescent="0.35">
      <c r="A414" t="s">
        <v>22</v>
      </c>
      <c r="B414" s="35" t="s">
        <v>151</v>
      </c>
    </row>
    <row r="415" spans="1:7" x14ac:dyDescent="0.35">
      <c r="A415" t="s">
        <v>23</v>
      </c>
      <c r="B415" s="35" t="s">
        <v>118</v>
      </c>
    </row>
    <row r="416" spans="1:7" x14ac:dyDescent="0.35">
      <c r="A416" t="s">
        <v>24</v>
      </c>
      <c r="B416" s="35" t="s">
        <v>119</v>
      </c>
    </row>
    <row r="417" spans="1:8" x14ac:dyDescent="0.35">
      <c r="A417" t="s">
        <v>25</v>
      </c>
      <c r="H417" t="s">
        <v>21</v>
      </c>
    </row>
    <row r="418" spans="1:8" x14ac:dyDescent="0.35">
      <c r="A418" t="s">
        <v>26</v>
      </c>
      <c r="B418" s="35" t="s">
        <v>27</v>
      </c>
      <c r="C418" t="s">
        <v>23</v>
      </c>
      <c r="D418" t="s">
        <v>24</v>
      </c>
      <c r="E418" t="s">
        <v>28</v>
      </c>
      <c r="F418" t="s">
        <v>29</v>
      </c>
      <c r="G418" t="s">
        <v>22</v>
      </c>
    </row>
    <row r="419" spans="1:8" x14ac:dyDescent="0.35">
      <c r="A419" s="35" t="str">
        <f>B411</f>
        <v xml:space="preserve">market group for neighbours, low voltage N2 </v>
      </c>
      <c r="B419" s="35">
        <v>1</v>
      </c>
      <c r="C419" t="s">
        <v>118</v>
      </c>
      <c r="D419" t="s">
        <v>119</v>
      </c>
      <c r="F419" t="s">
        <v>174</v>
      </c>
      <c r="G419" s="35" t="str">
        <f>B414</f>
        <v>electricity, high voltage</v>
      </c>
    </row>
    <row r="420" spans="1:8" x14ac:dyDescent="0.35">
      <c r="A420" t="s">
        <v>310</v>
      </c>
      <c r="B420" s="35">
        <f>imports!E10</f>
        <v>6.050813248676562E-2</v>
      </c>
      <c r="C420" t="s">
        <v>168</v>
      </c>
      <c r="D420" t="s">
        <v>119</v>
      </c>
      <c r="F420" t="s">
        <v>134</v>
      </c>
      <c r="G420" t="s">
        <v>151</v>
      </c>
    </row>
    <row r="421" spans="1:8" x14ac:dyDescent="0.35">
      <c r="A421" t="s">
        <v>311</v>
      </c>
      <c r="B421" s="35">
        <f>imports!E11</f>
        <v>4.5342204167799667E-2</v>
      </c>
      <c r="C421" t="s">
        <v>169</v>
      </c>
      <c r="D421" t="s">
        <v>119</v>
      </c>
      <c r="F421" t="s">
        <v>134</v>
      </c>
      <c r="G421" t="s">
        <v>151</v>
      </c>
    </row>
    <row r="422" spans="1:8" x14ac:dyDescent="0.35">
      <c r="A422" t="s">
        <v>312</v>
      </c>
      <c r="B422" s="35">
        <f>imports!E12</f>
        <v>0.15788865610056449</v>
      </c>
      <c r="C422" t="s">
        <v>170</v>
      </c>
      <c r="D422" t="s">
        <v>119</v>
      </c>
      <c r="F422" t="s">
        <v>134</v>
      </c>
      <c r="G422" t="s">
        <v>151</v>
      </c>
    </row>
    <row r="423" spans="1:8" x14ac:dyDescent="0.35">
      <c r="A423" t="s">
        <v>173</v>
      </c>
      <c r="B423" s="35">
        <f>imports!E13</f>
        <v>0.29308119692292922</v>
      </c>
      <c r="C423" t="s">
        <v>31</v>
      </c>
      <c r="D423" t="s">
        <v>119</v>
      </c>
      <c r="F423" t="s">
        <v>134</v>
      </c>
      <c r="G423" t="s">
        <v>151</v>
      </c>
    </row>
    <row r="424" spans="1:8" x14ac:dyDescent="0.35">
      <c r="A424" t="s">
        <v>313</v>
      </c>
      <c r="B424" s="35">
        <f>imports!E14</f>
        <v>0.2445273241959475</v>
      </c>
      <c r="C424" t="s">
        <v>12</v>
      </c>
      <c r="D424" t="s">
        <v>119</v>
      </c>
      <c r="F424" t="s">
        <v>134</v>
      </c>
      <c r="G424" t="s">
        <v>151</v>
      </c>
    </row>
    <row r="425" spans="1:8" x14ac:dyDescent="0.35">
      <c r="A425" t="s">
        <v>314</v>
      </c>
      <c r="B425" s="35">
        <f>imports!E15</f>
        <v>0.19865248612599359</v>
      </c>
      <c r="C425" t="s">
        <v>171</v>
      </c>
      <c r="D425" t="s">
        <v>119</v>
      </c>
      <c r="F425" t="s">
        <v>134</v>
      </c>
      <c r="G425" t="s">
        <v>151</v>
      </c>
    </row>
    <row r="428" spans="1:8" x14ac:dyDescent="0.35">
      <c r="A428" s="36" t="s">
        <v>19</v>
      </c>
      <c r="B428" s="35" t="s">
        <v>315</v>
      </c>
    </row>
    <row r="429" spans="1:8" x14ac:dyDescent="0.35">
      <c r="A429" t="s">
        <v>20</v>
      </c>
      <c r="B429" s="35">
        <v>1</v>
      </c>
    </row>
    <row r="430" spans="1:8" x14ac:dyDescent="0.35">
      <c r="A430" t="s">
        <v>21</v>
      </c>
      <c r="B430" s="35" t="s">
        <v>120</v>
      </c>
    </row>
    <row r="431" spans="1:8" x14ac:dyDescent="0.35">
      <c r="A431" t="s">
        <v>22</v>
      </c>
      <c r="B431" s="35" t="s">
        <v>151</v>
      </c>
    </row>
    <row r="432" spans="1:8" x14ac:dyDescent="0.35">
      <c r="A432" t="s">
        <v>23</v>
      </c>
      <c r="B432" s="35" t="s">
        <v>118</v>
      </c>
    </row>
    <row r="433" spans="1:8" x14ac:dyDescent="0.35">
      <c r="A433" t="s">
        <v>24</v>
      </c>
      <c r="B433" s="35" t="s">
        <v>119</v>
      </c>
    </row>
    <row r="434" spans="1:8" x14ac:dyDescent="0.35">
      <c r="A434" t="s">
        <v>25</v>
      </c>
      <c r="H434" t="s">
        <v>21</v>
      </c>
    </row>
    <row r="435" spans="1:8" x14ac:dyDescent="0.35">
      <c r="A435" t="s">
        <v>26</v>
      </c>
      <c r="B435" s="35" t="s">
        <v>27</v>
      </c>
      <c r="C435" t="s">
        <v>23</v>
      </c>
      <c r="D435" t="s">
        <v>24</v>
      </c>
      <c r="E435" t="s">
        <v>28</v>
      </c>
      <c r="F435" t="s">
        <v>29</v>
      </c>
      <c r="G435" t="s">
        <v>22</v>
      </c>
    </row>
    <row r="436" spans="1:8" x14ac:dyDescent="0.35">
      <c r="A436" s="35" t="str">
        <f>B428</f>
        <v xml:space="preserve">market group for neighbours, low voltage N03 </v>
      </c>
      <c r="B436" s="35">
        <v>1</v>
      </c>
      <c r="C436" t="s">
        <v>118</v>
      </c>
      <c r="D436" t="s">
        <v>119</v>
      </c>
      <c r="F436" t="s">
        <v>174</v>
      </c>
      <c r="G436" s="35" t="str">
        <f>B431</f>
        <v>electricity, high voltage</v>
      </c>
    </row>
    <row r="437" spans="1:8" x14ac:dyDescent="0.35">
      <c r="A437" t="s">
        <v>316</v>
      </c>
      <c r="B437" s="35">
        <f>imports!E10</f>
        <v>6.050813248676562E-2</v>
      </c>
      <c r="C437" t="s">
        <v>168</v>
      </c>
      <c r="D437" t="s">
        <v>119</v>
      </c>
      <c r="F437" t="s">
        <v>134</v>
      </c>
      <c r="G437" t="s">
        <v>151</v>
      </c>
    </row>
    <row r="438" spans="1:8" x14ac:dyDescent="0.35">
      <c r="A438" t="s">
        <v>317</v>
      </c>
      <c r="B438" s="35">
        <f>imports!E11</f>
        <v>4.5342204167799667E-2</v>
      </c>
      <c r="C438" t="s">
        <v>169</v>
      </c>
      <c r="D438" t="s">
        <v>119</v>
      </c>
      <c r="F438" t="s">
        <v>134</v>
      </c>
      <c r="G438" t="s">
        <v>151</v>
      </c>
    </row>
    <row r="439" spans="1:8" x14ac:dyDescent="0.35">
      <c r="A439" t="s">
        <v>318</v>
      </c>
      <c r="B439" s="35">
        <f>imports!E12</f>
        <v>0.15788865610056449</v>
      </c>
      <c r="C439" t="s">
        <v>170</v>
      </c>
      <c r="D439" t="s">
        <v>119</v>
      </c>
      <c r="F439" t="s">
        <v>134</v>
      </c>
      <c r="G439" t="s">
        <v>151</v>
      </c>
    </row>
    <row r="440" spans="1:8" x14ac:dyDescent="0.35">
      <c r="A440" t="s">
        <v>173</v>
      </c>
      <c r="B440" s="35">
        <f>imports!E13</f>
        <v>0.29308119692292922</v>
      </c>
      <c r="C440" t="s">
        <v>31</v>
      </c>
      <c r="D440" t="s">
        <v>119</v>
      </c>
      <c r="F440" t="s">
        <v>134</v>
      </c>
      <c r="G440" t="s">
        <v>151</v>
      </c>
    </row>
    <row r="441" spans="1:8" x14ac:dyDescent="0.35">
      <c r="A441" t="s">
        <v>319</v>
      </c>
      <c r="B441" s="35">
        <f>imports!E14</f>
        <v>0.2445273241959475</v>
      </c>
      <c r="C441" t="s">
        <v>12</v>
      </c>
      <c r="D441" t="s">
        <v>119</v>
      </c>
      <c r="F441" t="s">
        <v>134</v>
      </c>
      <c r="G441" t="s">
        <v>151</v>
      </c>
    </row>
    <row r="442" spans="1:8" x14ac:dyDescent="0.35">
      <c r="A442" t="s">
        <v>320</v>
      </c>
      <c r="B442" s="35">
        <f>imports!E15</f>
        <v>0.19865248612599359</v>
      </c>
      <c r="C442" t="s">
        <v>171</v>
      </c>
      <c r="D442" t="s">
        <v>119</v>
      </c>
      <c r="F442" t="s">
        <v>134</v>
      </c>
      <c r="G442" t="s">
        <v>151</v>
      </c>
    </row>
    <row r="443" spans="1:8" s="47" customFormat="1" x14ac:dyDescent="0.35">
      <c r="A443"/>
      <c r="B443" s="35"/>
      <c r="C443"/>
      <c r="D443"/>
      <c r="E443"/>
      <c r="F443"/>
      <c r="G443"/>
    </row>
    <row r="444" spans="1:8" x14ac:dyDescent="0.35">
      <c r="A444" s="47"/>
      <c r="B444" s="48"/>
      <c r="C444" s="47"/>
      <c r="D444" s="47"/>
      <c r="E444" s="47"/>
      <c r="F444" s="47"/>
      <c r="G444" s="47"/>
    </row>
    <row r="446" spans="1:8" x14ac:dyDescent="0.35">
      <c r="A446" s="36" t="s">
        <v>19</v>
      </c>
      <c r="B446" s="35" t="s">
        <v>321</v>
      </c>
    </row>
    <row r="447" spans="1:8" x14ac:dyDescent="0.35">
      <c r="A447" t="s">
        <v>20</v>
      </c>
      <c r="B447" s="35">
        <v>1</v>
      </c>
    </row>
    <row r="448" spans="1:8" x14ac:dyDescent="0.35">
      <c r="A448" t="s">
        <v>21</v>
      </c>
      <c r="B448" s="35" t="s">
        <v>120</v>
      </c>
    </row>
    <row r="449" spans="1:8" x14ac:dyDescent="0.35">
      <c r="A449" t="s">
        <v>22</v>
      </c>
      <c r="B449" s="35" t="s">
        <v>151</v>
      </c>
    </row>
    <row r="450" spans="1:8" x14ac:dyDescent="0.35">
      <c r="A450" t="s">
        <v>23</v>
      </c>
      <c r="B450" s="35" t="s">
        <v>170</v>
      </c>
    </row>
    <row r="451" spans="1:8" x14ac:dyDescent="0.35">
      <c r="A451" t="s">
        <v>24</v>
      </c>
      <c r="B451" s="35" t="s">
        <v>119</v>
      </c>
    </row>
    <row r="452" spans="1:8" x14ac:dyDescent="0.35">
      <c r="A452" t="s">
        <v>25</v>
      </c>
      <c r="H452" t="s">
        <v>21</v>
      </c>
    </row>
    <row r="453" spans="1:8" x14ac:dyDescent="0.35">
      <c r="A453" t="s">
        <v>26</v>
      </c>
      <c r="B453" s="35" t="s">
        <v>27</v>
      </c>
      <c r="C453" t="s">
        <v>23</v>
      </c>
      <c r="D453" t="s">
        <v>24</v>
      </c>
      <c r="E453" t="s">
        <v>28</v>
      </c>
      <c r="F453" t="s">
        <v>29</v>
      </c>
      <c r="G453" t="s">
        <v>22</v>
      </c>
      <c r="H453" s="35" t="str">
        <f>B448</f>
        <v>RTE scenarios adapted from Ecoinvent - no background data altered</v>
      </c>
    </row>
    <row r="454" spans="1:8" x14ac:dyDescent="0.35">
      <c r="A454" s="35" t="str">
        <f>B446</f>
        <v xml:space="preserve">market for electricity, high voltage DE M0 </v>
      </c>
      <c r="B454" s="35">
        <v>1</v>
      </c>
      <c r="C454" t="s">
        <v>170</v>
      </c>
      <c r="D454" t="s">
        <v>119</v>
      </c>
      <c r="F454" t="s">
        <v>174</v>
      </c>
      <c r="G454" t="s">
        <v>151</v>
      </c>
      <c r="H454" t="s">
        <v>201</v>
      </c>
    </row>
    <row r="455" spans="1:8" x14ac:dyDescent="0.35">
      <c r="A455" s="35" t="str">
        <f>B446</f>
        <v xml:space="preserve">market for electricity, high voltage DE M0 </v>
      </c>
      <c r="B455" s="35">
        <v>2.1779170075109801E-2</v>
      </c>
      <c r="C455" t="s">
        <v>170</v>
      </c>
      <c r="D455" t="s">
        <v>119</v>
      </c>
      <c r="F455" t="s">
        <v>134</v>
      </c>
      <c r="G455" t="s">
        <v>151</v>
      </c>
    </row>
    <row r="456" spans="1:8" x14ac:dyDescent="0.35">
      <c r="A456" t="s">
        <v>195</v>
      </c>
      <c r="B456" s="35">
        <f>imports2!K6</f>
        <v>1.659558553020022E-2</v>
      </c>
      <c r="C456" t="s">
        <v>170</v>
      </c>
      <c r="D456" t="s">
        <v>119</v>
      </c>
      <c r="F456" t="s">
        <v>134</v>
      </c>
      <c r="G456" t="s">
        <v>151</v>
      </c>
    </row>
    <row r="457" spans="1:8" x14ac:dyDescent="0.35">
      <c r="A457" t="s">
        <v>97</v>
      </c>
      <c r="B457" s="35">
        <f>imports2!I8</f>
        <v>0.27054578589139044</v>
      </c>
      <c r="C457" t="s">
        <v>170</v>
      </c>
      <c r="D457" t="s">
        <v>119</v>
      </c>
      <c r="F457" t="s">
        <v>134</v>
      </c>
      <c r="G457" t="s">
        <v>151</v>
      </c>
    </row>
    <row r="458" spans="1:8" x14ac:dyDescent="0.35">
      <c r="A458" s="9" t="s">
        <v>131</v>
      </c>
      <c r="B458" s="35">
        <f>imports2!I7</f>
        <v>4.9312830192547452E-2</v>
      </c>
      <c r="C458" t="s">
        <v>170</v>
      </c>
      <c r="D458" t="s">
        <v>119</v>
      </c>
      <c r="F458" t="s">
        <v>134</v>
      </c>
      <c r="G458" t="s">
        <v>151</v>
      </c>
    </row>
    <row r="459" spans="1:8" x14ac:dyDescent="0.35">
      <c r="A459" t="s">
        <v>123</v>
      </c>
      <c r="B459" s="35">
        <f>imports2!I9</f>
        <v>2.9626981034993907E-2</v>
      </c>
      <c r="C459" t="s">
        <v>170</v>
      </c>
      <c r="D459" t="s">
        <v>119</v>
      </c>
      <c r="F459" t="s">
        <v>134</v>
      </c>
      <c r="G459" t="s">
        <v>151</v>
      </c>
    </row>
    <row r="460" spans="1:8" x14ac:dyDescent="0.35">
      <c r="A460" t="s">
        <v>96</v>
      </c>
      <c r="B460" s="35">
        <f>imports2!J6</f>
        <v>0.258390264249312</v>
      </c>
      <c r="C460" t="s">
        <v>170</v>
      </c>
      <c r="D460" t="s">
        <v>119</v>
      </c>
      <c r="F460" t="s">
        <v>134</v>
      </c>
      <c r="G460" t="s">
        <v>151</v>
      </c>
    </row>
    <row r="461" spans="1:8" x14ac:dyDescent="0.35">
      <c r="A461" s="10" t="s">
        <v>136</v>
      </c>
      <c r="B461" s="35">
        <f>imports2!L6</f>
        <v>0.10321602730126453</v>
      </c>
      <c r="C461" t="s">
        <v>170</v>
      </c>
      <c r="D461" t="s">
        <v>119</v>
      </c>
      <c r="F461" t="s">
        <v>134</v>
      </c>
      <c r="G461" t="s">
        <v>151</v>
      </c>
      <c r="H461" t="s">
        <v>198</v>
      </c>
    </row>
    <row r="462" spans="1:8" x14ac:dyDescent="0.35">
      <c r="A462" s="35" t="s">
        <v>322</v>
      </c>
      <c r="B462" s="35">
        <f>imports2!N6*imports2!Y3</f>
        <v>2.5669550461059169E-2</v>
      </c>
      <c r="C462" t="s">
        <v>31</v>
      </c>
      <c r="D462" t="s">
        <v>119</v>
      </c>
      <c r="F462" t="s">
        <v>134</v>
      </c>
      <c r="G462" t="s">
        <v>151</v>
      </c>
      <c r="H462" t="s">
        <v>216</v>
      </c>
    </row>
    <row r="463" spans="1:8" x14ac:dyDescent="0.35">
      <c r="A463" s="35" t="s">
        <v>156</v>
      </c>
      <c r="B463" s="35">
        <f>imports2!N6*imports2!Y7</f>
        <v>1.1019349007980479E-2</v>
      </c>
      <c r="C463" t="s">
        <v>130</v>
      </c>
      <c r="D463" t="s">
        <v>119</v>
      </c>
      <c r="F463" t="s">
        <v>134</v>
      </c>
      <c r="G463" t="s">
        <v>151</v>
      </c>
    </row>
    <row r="464" spans="1:8" x14ac:dyDescent="0.35">
      <c r="A464" s="35" t="s">
        <v>156</v>
      </c>
      <c r="B464" s="35">
        <f>imports2!$N$6*imports2!Y4</f>
        <v>5.0543178546670385E-3</v>
      </c>
      <c r="C464" t="s">
        <v>246</v>
      </c>
      <c r="D464" t="s">
        <v>119</v>
      </c>
      <c r="F464" t="s">
        <v>134</v>
      </c>
      <c r="G464" t="s">
        <v>151</v>
      </c>
    </row>
    <row r="465" spans="1:8" x14ac:dyDescent="0.35">
      <c r="A465" s="35" t="s">
        <v>156</v>
      </c>
      <c r="B465" s="35">
        <f>imports2!$N$6*imports2!Y5</f>
        <v>8.3089711736804503E-3</v>
      </c>
      <c r="C465" t="s">
        <v>247</v>
      </c>
      <c r="D465" t="s">
        <v>119</v>
      </c>
      <c r="F465" t="s">
        <v>134</v>
      </c>
      <c r="G465" t="s">
        <v>151</v>
      </c>
    </row>
    <row r="466" spans="1:8" x14ac:dyDescent="0.35">
      <c r="A466" s="35" t="s">
        <v>156</v>
      </c>
      <c r="B466" s="35">
        <f>imports2!$N$6*imports2!Y6</f>
        <v>3.2932901996355329E-5</v>
      </c>
      <c r="C466" t="s">
        <v>248</v>
      </c>
      <c r="D466" t="s">
        <v>119</v>
      </c>
      <c r="F466" t="s">
        <v>134</v>
      </c>
      <c r="G466" t="s">
        <v>151</v>
      </c>
    </row>
    <row r="467" spans="1:8" x14ac:dyDescent="0.35">
      <c r="A467" s="35" t="s">
        <v>156</v>
      </c>
      <c r="B467" s="35">
        <f>imports2!$N$6*imports2!Y8</f>
        <v>2.1966245631568995E-3</v>
      </c>
      <c r="C467" t="s">
        <v>249</v>
      </c>
      <c r="D467" t="s">
        <v>119</v>
      </c>
      <c r="F467" t="s">
        <v>134</v>
      </c>
      <c r="G467" t="s">
        <v>151</v>
      </c>
    </row>
    <row r="468" spans="1:8" x14ac:dyDescent="0.35">
      <c r="A468" s="35" t="s">
        <v>156</v>
      </c>
      <c r="B468" s="35">
        <f>imports2!$N$6*imports2!Y9</f>
        <v>8.0290415067114304E-3</v>
      </c>
      <c r="C468" t="s">
        <v>250</v>
      </c>
      <c r="D468" t="s">
        <v>119</v>
      </c>
      <c r="F468" t="s">
        <v>134</v>
      </c>
      <c r="G468" t="s">
        <v>151</v>
      </c>
    </row>
    <row r="469" spans="1:8" x14ac:dyDescent="0.35">
      <c r="A469" s="35" t="s">
        <v>156</v>
      </c>
      <c r="B469" s="35">
        <f>imports2!$N$6*imports2!Y10</f>
        <v>5.6726923688722062E-3</v>
      </c>
      <c r="C469" t="s">
        <v>251</v>
      </c>
      <c r="D469" t="s">
        <v>119</v>
      </c>
      <c r="F469" t="s">
        <v>134</v>
      </c>
      <c r="G469" t="s">
        <v>151</v>
      </c>
      <c r="H469" t="s">
        <v>200</v>
      </c>
    </row>
    <row r="470" spans="1:8" x14ac:dyDescent="0.35">
      <c r="A470" s="35" t="str">
        <f>B446</f>
        <v xml:space="preserve">market for electricity, high voltage DE M0 </v>
      </c>
      <c r="B470" s="35">
        <f>imports2!M6*1.5</f>
        <v>4.567915761376859E-2</v>
      </c>
      <c r="C470" t="s">
        <v>170</v>
      </c>
      <c r="D470" t="s">
        <v>119</v>
      </c>
      <c r="F470" t="s">
        <v>134</v>
      </c>
      <c r="G470" t="s">
        <v>151</v>
      </c>
    </row>
    <row r="471" spans="1:8" x14ac:dyDescent="0.35">
      <c r="A471" t="s">
        <v>122</v>
      </c>
      <c r="B471" s="35">
        <f>imports2!H7</f>
        <v>2.8781564673414417E-2</v>
      </c>
      <c r="C471" t="s">
        <v>170</v>
      </c>
      <c r="D471" t="s">
        <v>119</v>
      </c>
      <c r="F471" t="s">
        <v>134</v>
      </c>
      <c r="G471" t="s">
        <v>152</v>
      </c>
    </row>
    <row r="472" spans="1:8" x14ac:dyDescent="0.35">
      <c r="A472" t="s">
        <v>121</v>
      </c>
      <c r="B472" s="35">
        <f>imports2!H8</f>
        <v>3.5844168946948626E-2</v>
      </c>
      <c r="C472" t="s">
        <v>170</v>
      </c>
      <c r="D472" t="s">
        <v>119</v>
      </c>
      <c r="F472" t="s">
        <v>134</v>
      </c>
      <c r="G472" t="s">
        <v>152</v>
      </c>
    </row>
    <row r="473" spans="1:8" x14ac:dyDescent="0.35">
      <c r="A473" t="s">
        <v>133</v>
      </c>
      <c r="B473" s="35">
        <f>imports2!H9</f>
        <v>0.11125054059929187</v>
      </c>
      <c r="C473" t="s">
        <v>170</v>
      </c>
      <c r="D473" t="s">
        <v>119</v>
      </c>
      <c r="F473" t="s">
        <v>134</v>
      </c>
      <c r="G473" t="s">
        <v>152</v>
      </c>
    </row>
    <row r="474" spans="1:8" x14ac:dyDescent="0.35">
      <c r="A474" t="s">
        <v>125</v>
      </c>
      <c r="B474" s="35">
        <f>imports2!S10</f>
        <v>2.1621783573657501E-9</v>
      </c>
      <c r="C474" t="s">
        <v>127</v>
      </c>
      <c r="D474" t="s">
        <v>138</v>
      </c>
      <c r="F474" t="s">
        <v>134</v>
      </c>
      <c r="G474" t="s">
        <v>101</v>
      </c>
    </row>
    <row r="477" spans="1:8" x14ac:dyDescent="0.35">
      <c r="A477" s="36" t="s">
        <v>19</v>
      </c>
      <c r="B477" s="35" t="s">
        <v>323</v>
      </c>
    </row>
    <row r="478" spans="1:8" x14ac:dyDescent="0.35">
      <c r="A478" t="s">
        <v>20</v>
      </c>
      <c r="B478" s="35">
        <v>1</v>
      </c>
    </row>
    <row r="479" spans="1:8" x14ac:dyDescent="0.35">
      <c r="A479" t="s">
        <v>21</v>
      </c>
      <c r="B479" s="35" t="s">
        <v>120</v>
      </c>
    </row>
    <row r="480" spans="1:8" x14ac:dyDescent="0.35">
      <c r="A480" t="s">
        <v>22</v>
      </c>
      <c r="B480" s="35" t="s">
        <v>151</v>
      </c>
    </row>
    <row r="481" spans="1:8" x14ac:dyDescent="0.35">
      <c r="A481" t="s">
        <v>23</v>
      </c>
      <c r="B481" s="35" t="s">
        <v>169</v>
      </c>
    </row>
    <row r="482" spans="1:8" x14ac:dyDescent="0.35">
      <c r="A482" t="s">
        <v>24</v>
      </c>
      <c r="B482" s="35" t="s">
        <v>119</v>
      </c>
    </row>
    <row r="483" spans="1:8" x14ac:dyDescent="0.35">
      <c r="A483" t="s">
        <v>25</v>
      </c>
      <c r="H483" t="s">
        <v>21</v>
      </c>
    </row>
    <row r="484" spans="1:8" x14ac:dyDescent="0.35">
      <c r="A484" t="s">
        <v>26</v>
      </c>
      <c r="B484" s="35" t="s">
        <v>27</v>
      </c>
      <c r="C484" t="s">
        <v>23</v>
      </c>
      <c r="D484" t="s">
        <v>24</v>
      </c>
      <c r="E484" t="s">
        <v>28</v>
      </c>
      <c r="F484" t="s">
        <v>29</v>
      </c>
      <c r="G484" t="s">
        <v>22</v>
      </c>
      <c r="H484" s="35" t="str">
        <f>B479</f>
        <v>RTE scenarios adapted from Ecoinvent - no background data altered</v>
      </c>
    </row>
    <row r="485" spans="1:8" x14ac:dyDescent="0.35">
      <c r="A485" s="35" t="str">
        <f>B477</f>
        <v xml:space="preserve">market for electricity, high voltage GB M0 </v>
      </c>
      <c r="B485" s="35">
        <v>1</v>
      </c>
      <c r="C485" t="s">
        <v>169</v>
      </c>
      <c r="D485" t="s">
        <v>119</v>
      </c>
      <c r="F485" t="s">
        <v>174</v>
      </c>
      <c r="G485" t="s">
        <v>151</v>
      </c>
      <c r="H485" t="s">
        <v>201</v>
      </c>
    </row>
    <row r="486" spans="1:8" x14ac:dyDescent="0.35">
      <c r="A486" s="35" t="str">
        <f>B477</f>
        <v xml:space="preserve">market for electricity, high voltage GB M0 </v>
      </c>
      <c r="B486" s="35">
        <v>3.26941222043741E-2</v>
      </c>
      <c r="C486" t="s">
        <v>169</v>
      </c>
      <c r="D486" t="s">
        <v>119</v>
      </c>
      <c r="F486" t="s">
        <v>134</v>
      </c>
      <c r="G486" t="s">
        <v>151</v>
      </c>
    </row>
    <row r="487" spans="1:8" x14ac:dyDescent="0.35">
      <c r="A487" t="s">
        <v>132</v>
      </c>
      <c r="B487" s="35">
        <f>imports2!G19</f>
        <v>1.3243315951176915E-2</v>
      </c>
      <c r="C487" t="s">
        <v>169</v>
      </c>
      <c r="D487" t="s">
        <v>119</v>
      </c>
      <c r="F487" t="s">
        <v>134</v>
      </c>
      <c r="G487" t="s">
        <v>151</v>
      </c>
    </row>
    <row r="488" spans="1:8" x14ac:dyDescent="0.35">
      <c r="A488" t="s">
        <v>199</v>
      </c>
      <c r="B488" s="35">
        <f>imports2!G18</f>
        <v>8.9405658518934977E-2</v>
      </c>
      <c r="C488" t="s">
        <v>169</v>
      </c>
      <c r="D488" t="s">
        <v>119</v>
      </c>
      <c r="F488" t="s">
        <v>134</v>
      </c>
      <c r="G488" t="s">
        <v>151</v>
      </c>
    </row>
    <row r="489" spans="1:8" x14ac:dyDescent="0.35">
      <c r="A489" t="s">
        <v>92</v>
      </c>
      <c r="B489" s="35">
        <f>imports2!K17</f>
        <v>3.8125908706551755E-2</v>
      </c>
      <c r="C489" t="s">
        <v>169</v>
      </c>
      <c r="D489" t="s">
        <v>119</v>
      </c>
      <c r="F489" t="s">
        <v>134</v>
      </c>
      <c r="G489" t="s">
        <v>151</v>
      </c>
    </row>
    <row r="490" spans="1:8" x14ac:dyDescent="0.35">
      <c r="A490" t="s">
        <v>97</v>
      </c>
      <c r="B490" s="35">
        <f>imports2!I20</f>
        <v>1.367831651297859E-2</v>
      </c>
      <c r="C490" t="s">
        <v>169</v>
      </c>
      <c r="D490" t="s">
        <v>119</v>
      </c>
      <c r="F490" t="s">
        <v>134</v>
      </c>
      <c r="G490" t="s">
        <v>151</v>
      </c>
    </row>
    <row r="491" spans="1:8" x14ac:dyDescent="0.35">
      <c r="A491" s="9" t="s">
        <v>131</v>
      </c>
      <c r="B491" s="35">
        <f>imports2!I18</f>
        <v>1.6512085966431005E-3</v>
      </c>
      <c r="C491" t="s">
        <v>169</v>
      </c>
      <c r="D491" t="s">
        <v>119</v>
      </c>
      <c r="F491" t="s">
        <v>134</v>
      </c>
      <c r="G491" t="s">
        <v>151</v>
      </c>
    </row>
    <row r="492" spans="1:8" x14ac:dyDescent="0.35">
      <c r="A492" t="s">
        <v>123</v>
      </c>
      <c r="B492" s="35">
        <f>imports2!I19</f>
        <v>9.6100156529368226E-4</v>
      </c>
      <c r="C492" t="s">
        <v>169</v>
      </c>
      <c r="D492" t="s">
        <v>119</v>
      </c>
      <c r="F492" t="s">
        <v>134</v>
      </c>
      <c r="G492" t="s">
        <v>151</v>
      </c>
    </row>
    <row r="493" spans="1:8" x14ac:dyDescent="0.35">
      <c r="A493" t="s">
        <v>96</v>
      </c>
      <c r="B493" s="35">
        <f>imports2!J17</f>
        <v>0.29280430490324977</v>
      </c>
      <c r="C493" t="s">
        <v>169</v>
      </c>
      <c r="D493" t="s">
        <v>119</v>
      </c>
      <c r="F493" t="s">
        <v>134</v>
      </c>
      <c r="G493" t="s">
        <v>151</v>
      </c>
    </row>
    <row r="494" spans="1:8" x14ac:dyDescent="0.35">
      <c r="A494" s="10" t="s">
        <v>136</v>
      </c>
      <c r="B494" s="35">
        <f>imports2!L17</f>
        <v>7.8769276726965903E-2</v>
      </c>
      <c r="C494" t="s">
        <v>169</v>
      </c>
      <c r="D494" t="s">
        <v>119</v>
      </c>
      <c r="F494" t="s">
        <v>134</v>
      </c>
      <c r="G494" t="s">
        <v>151</v>
      </c>
      <c r="H494" t="s">
        <v>200</v>
      </c>
    </row>
    <row r="495" spans="1:8" x14ac:dyDescent="0.35">
      <c r="A495" s="35" t="str">
        <f>B477</f>
        <v xml:space="preserve">market for electricity, high voltage GB M0 </v>
      </c>
      <c r="B495" s="35">
        <f>imports2!M17*1.5</f>
        <v>1.2432875805039075E-2</v>
      </c>
      <c r="C495" t="s">
        <v>169</v>
      </c>
      <c r="D495" t="s">
        <v>119</v>
      </c>
      <c r="F495" t="s">
        <v>134</v>
      </c>
      <c r="G495" t="s">
        <v>151</v>
      </c>
    </row>
    <row r="496" spans="1:8" x14ac:dyDescent="0.35">
      <c r="A496" t="s">
        <v>122</v>
      </c>
      <c r="B496" s="35">
        <f>imports2!H18</f>
        <v>9.6093041262761917E-3</v>
      </c>
      <c r="C496" t="s">
        <v>169</v>
      </c>
      <c r="D496" t="s">
        <v>119</v>
      </c>
      <c r="F496" t="s">
        <v>134</v>
      </c>
      <c r="G496" t="s">
        <v>152</v>
      </c>
    </row>
    <row r="497" spans="1:8" x14ac:dyDescent="0.35">
      <c r="A497" t="s">
        <v>121</v>
      </c>
      <c r="B497" s="35">
        <f>imports2!H19</f>
        <v>1.1986863908132712E-2</v>
      </c>
      <c r="C497" t="s">
        <v>169</v>
      </c>
      <c r="D497" t="s">
        <v>119</v>
      </c>
      <c r="F497" t="s">
        <v>134</v>
      </c>
      <c r="G497" t="s">
        <v>152</v>
      </c>
    </row>
    <row r="498" spans="1:8" x14ac:dyDescent="0.35">
      <c r="A498" t="s">
        <v>133</v>
      </c>
      <c r="B498" s="35">
        <f>imports2!H20</f>
        <v>4.1921001991008532E-2</v>
      </c>
      <c r="C498" t="s">
        <v>169</v>
      </c>
      <c r="D498" t="s">
        <v>119</v>
      </c>
      <c r="F498" t="s">
        <v>134</v>
      </c>
      <c r="G498" t="s">
        <v>152</v>
      </c>
    </row>
    <row r="499" spans="1:8" x14ac:dyDescent="0.35">
      <c r="A499" t="s">
        <v>125</v>
      </c>
      <c r="B499" s="35">
        <f>imports2!R22</f>
        <v>2.1670778390046501E-9</v>
      </c>
      <c r="C499" t="s">
        <v>127</v>
      </c>
      <c r="D499" t="s">
        <v>138</v>
      </c>
      <c r="F499" t="s">
        <v>134</v>
      </c>
      <c r="G499" t="s">
        <v>101</v>
      </c>
    </row>
    <row r="500" spans="1:8" x14ac:dyDescent="0.35">
      <c r="A500" t="s">
        <v>124</v>
      </c>
      <c r="B500" s="35">
        <f>imports2!R23</f>
        <v>1.4192813639264101E-10</v>
      </c>
      <c r="C500" t="s">
        <v>127</v>
      </c>
      <c r="D500" t="s">
        <v>138</v>
      </c>
      <c r="F500" t="s">
        <v>134</v>
      </c>
      <c r="G500" t="s">
        <v>102</v>
      </c>
    </row>
    <row r="501" spans="1:8" x14ac:dyDescent="0.35">
      <c r="A501" t="s">
        <v>157</v>
      </c>
      <c r="B501" s="35">
        <f>imports2!R24</f>
        <v>2.6965250167450102E-10</v>
      </c>
      <c r="C501" t="s">
        <v>127</v>
      </c>
      <c r="D501" t="s">
        <v>138</v>
      </c>
      <c r="F501" t="s">
        <v>134</v>
      </c>
      <c r="G501" t="s">
        <v>103</v>
      </c>
    </row>
    <row r="504" spans="1:8" x14ac:dyDescent="0.35">
      <c r="A504" s="36" t="s">
        <v>19</v>
      </c>
      <c r="B504" s="35" t="s">
        <v>324</v>
      </c>
    </row>
    <row r="505" spans="1:8" x14ac:dyDescent="0.35">
      <c r="A505" t="s">
        <v>20</v>
      </c>
      <c r="B505" s="35">
        <v>1</v>
      </c>
    </row>
    <row r="506" spans="1:8" x14ac:dyDescent="0.35">
      <c r="A506" t="s">
        <v>21</v>
      </c>
      <c r="B506" s="35" t="s">
        <v>120</v>
      </c>
    </row>
    <row r="507" spans="1:8" x14ac:dyDescent="0.35">
      <c r="A507" t="s">
        <v>22</v>
      </c>
      <c r="B507" s="35" t="s">
        <v>151</v>
      </c>
    </row>
    <row r="508" spans="1:8" x14ac:dyDescent="0.35">
      <c r="A508" t="s">
        <v>23</v>
      </c>
      <c r="B508" s="35" t="s">
        <v>168</v>
      </c>
    </row>
    <row r="509" spans="1:8" x14ac:dyDescent="0.35">
      <c r="A509" t="s">
        <v>24</v>
      </c>
      <c r="B509" s="35" t="s">
        <v>119</v>
      </c>
    </row>
    <row r="510" spans="1:8" x14ac:dyDescent="0.35">
      <c r="A510" t="s">
        <v>25</v>
      </c>
      <c r="H510" t="s">
        <v>21</v>
      </c>
    </row>
    <row r="511" spans="1:8" x14ac:dyDescent="0.35">
      <c r="A511" t="s">
        <v>26</v>
      </c>
      <c r="B511" s="35" t="s">
        <v>27</v>
      </c>
      <c r="C511" t="s">
        <v>23</v>
      </c>
      <c r="D511" t="s">
        <v>24</v>
      </c>
      <c r="E511" t="s">
        <v>28</v>
      </c>
      <c r="F511" t="s">
        <v>29</v>
      </c>
      <c r="G511" t="s">
        <v>22</v>
      </c>
      <c r="H511" s="35" t="str">
        <f>B506</f>
        <v>RTE scenarios adapted from Ecoinvent - no background data altered</v>
      </c>
    </row>
    <row r="512" spans="1:8" x14ac:dyDescent="0.35">
      <c r="A512" s="35" t="str">
        <f>B504</f>
        <v xml:space="preserve">market for electricity, high voltage IT M0 </v>
      </c>
      <c r="B512" s="35">
        <v>1</v>
      </c>
      <c r="C512" t="s">
        <v>168</v>
      </c>
      <c r="D512" t="s">
        <v>119</v>
      </c>
      <c r="F512" t="s">
        <v>174</v>
      </c>
      <c r="G512" t="s">
        <v>151</v>
      </c>
      <c r="H512" t="s">
        <v>201</v>
      </c>
    </row>
    <row r="513" spans="1:8" x14ac:dyDescent="0.35">
      <c r="A513" s="35" t="str">
        <f>B504</f>
        <v xml:space="preserve">market for electricity, high voltage IT M0 </v>
      </c>
      <c r="B513" s="35">
        <v>2.3357870144476399E-2</v>
      </c>
      <c r="C513" t="s">
        <v>168</v>
      </c>
      <c r="D513" t="s">
        <v>119</v>
      </c>
      <c r="F513" t="s">
        <v>134</v>
      </c>
      <c r="G513" t="s">
        <v>151</v>
      </c>
    </row>
    <row r="514" spans="1:8" x14ac:dyDescent="0.35">
      <c r="A514" t="s">
        <v>92</v>
      </c>
      <c r="B514" s="35">
        <f>imports2!K29</f>
        <v>1.7085942625630911E-2</v>
      </c>
      <c r="C514" t="s">
        <v>168</v>
      </c>
      <c r="D514" t="s">
        <v>119</v>
      </c>
      <c r="F514" t="s">
        <v>134</v>
      </c>
      <c r="G514" t="s">
        <v>151</v>
      </c>
    </row>
    <row r="515" spans="1:8" x14ac:dyDescent="0.35">
      <c r="A515" t="s">
        <v>91</v>
      </c>
      <c r="B515" s="35">
        <f>imports2!K30</f>
        <v>3.0376022688869929E-2</v>
      </c>
      <c r="C515" t="s">
        <v>168</v>
      </c>
      <c r="D515" t="s">
        <v>119</v>
      </c>
      <c r="F515" t="s">
        <v>134</v>
      </c>
      <c r="G515" t="s">
        <v>151</v>
      </c>
    </row>
    <row r="516" spans="1:8" x14ac:dyDescent="0.35">
      <c r="A516" t="s">
        <v>97</v>
      </c>
      <c r="B516" s="35">
        <f>imports2!I31</f>
        <v>4.911004801215172E-2</v>
      </c>
      <c r="C516" t="s">
        <v>168</v>
      </c>
      <c r="D516" t="s">
        <v>119</v>
      </c>
      <c r="F516" t="s">
        <v>134</v>
      </c>
      <c r="G516" t="s">
        <v>151</v>
      </c>
    </row>
    <row r="517" spans="1:8" x14ac:dyDescent="0.35">
      <c r="A517" s="9" t="s">
        <v>131</v>
      </c>
      <c r="B517" s="35">
        <f>imports2!I30</f>
        <v>2.1734444785016883E-2</v>
      </c>
      <c r="C517" t="s">
        <v>168</v>
      </c>
      <c r="D517" t="s">
        <v>119</v>
      </c>
      <c r="F517" t="s">
        <v>134</v>
      </c>
      <c r="G517" t="s">
        <v>151</v>
      </c>
    </row>
    <row r="518" spans="1:8" x14ac:dyDescent="0.35">
      <c r="A518" t="s">
        <v>123</v>
      </c>
      <c r="B518" s="35">
        <f>imports2!I29</f>
        <v>6.6363535802902293E-3</v>
      </c>
      <c r="C518" t="s">
        <v>168</v>
      </c>
      <c r="D518" t="s">
        <v>119</v>
      </c>
      <c r="F518" t="s">
        <v>134</v>
      </c>
      <c r="G518" t="s">
        <v>151</v>
      </c>
      <c r="H518" t="s">
        <v>223</v>
      </c>
    </row>
    <row r="519" spans="1:8" x14ac:dyDescent="0.35">
      <c r="A519" t="s">
        <v>96</v>
      </c>
      <c r="B519" s="35">
        <f>imports2!J28</f>
        <v>4.0763714178789885E-2</v>
      </c>
      <c r="C519" t="s">
        <v>171</v>
      </c>
      <c r="D519" t="s">
        <v>119</v>
      </c>
      <c r="F519" t="s">
        <v>134</v>
      </c>
      <c r="G519" t="s">
        <v>151</v>
      </c>
    </row>
    <row r="520" spans="1:8" x14ac:dyDescent="0.35">
      <c r="A520" s="10" t="s">
        <v>136</v>
      </c>
      <c r="B520" s="35">
        <f>imports2!L28</f>
        <v>5.390249870409735E-2</v>
      </c>
      <c r="C520" t="s">
        <v>168</v>
      </c>
      <c r="D520" t="s">
        <v>119</v>
      </c>
      <c r="F520" t="s">
        <v>134</v>
      </c>
      <c r="G520" t="s">
        <v>151</v>
      </c>
      <c r="H520" t="s">
        <v>198</v>
      </c>
    </row>
    <row r="521" spans="1:8" x14ac:dyDescent="0.35">
      <c r="A521" s="35" t="s">
        <v>325</v>
      </c>
      <c r="B521" s="35">
        <f>imports2!N28*imports2!Y27</f>
        <v>1.4820330291191916E-2</v>
      </c>
      <c r="C521" t="s">
        <v>31</v>
      </c>
      <c r="D521" t="s">
        <v>119</v>
      </c>
      <c r="F521" t="s">
        <v>134</v>
      </c>
      <c r="G521" t="s">
        <v>151</v>
      </c>
      <c r="H521" t="s">
        <v>200</v>
      </c>
    </row>
    <row r="522" spans="1:8" x14ac:dyDescent="0.35">
      <c r="A522" s="35" t="s">
        <v>156</v>
      </c>
      <c r="B522" s="35">
        <f>imports2!N28*imports2!Y28</f>
        <v>2.1576405759772908E-2</v>
      </c>
      <c r="C522" t="s">
        <v>130</v>
      </c>
      <c r="D522" t="s">
        <v>119</v>
      </c>
      <c r="F522" t="s">
        <v>134</v>
      </c>
      <c r="G522" t="s">
        <v>151</v>
      </c>
    </row>
    <row r="523" spans="1:8" x14ac:dyDescent="0.35">
      <c r="A523" s="35" t="s">
        <v>156</v>
      </c>
      <c r="B523" s="35">
        <f>imports2!$N$28*imports2!Y26</f>
        <v>3.6185874731225807E-5</v>
      </c>
      <c r="C523" t="s">
        <v>252</v>
      </c>
      <c r="D523" t="s">
        <v>119</v>
      </c>
      <c r="F523" t="s">
        <v>134</v>
      </c>
      <c r="G523" t="s">
        <v>151</v>
      </c>
    </row>
    <row r="524" spans="1:8" x14ac:dyDescent="0.35">
      <c r="A524" s="35" t="s">
        <v>156</v>
      </c>
      <c r="B524" s="35">
        <f>imports2!$N$28*imports2!Y29</f>
        <v>1.8967884634918721E-5</v>
      </c>
      <c r="C524" t="s">
        <v>253</v>
      </c>
      <c r="D524" t="s">
        <v>119</v>
      </c>
      <c r="F524" t="s">
        <v>134</v>
      </c>
      <c r="G524" t="s">
        <v>151</v>
      </c>
    </row>
    <row r="525" spans="1:8" x14ac:dyDescent="0.35">
      <c r="A525" s="35" t="s">
        <v>156</v>
      </c>
      <c r="B525" s="35">
        <f>imports2!$N$28*imports2!Y30</f>
        <v>1.1946559180011354E-3</v>
      </c>
      <c r="C525" t="s">
        <v>250</v>
      </c>
      <c r="D525" t="s">
        <v>119</v>
      </c>
      <c r="F525" t="s">
        <v>134</v>
      </c>
      <c r="G525" t="s">
        <v>151</v>
      </c>
    </row>
    <row r="526" spans="1:8" x14ac:dyDescent="0.35">
      <c r="A526" s="35" t="s">
        <v>156</v>
      </c>
      <c r="B526" s="35">
        <f>imports2!$N$28*imports2!Y31</f>
        <v>5.0490465410198034E-3</v>
      </c>
      <c r="C526" t="s">
        <v>254</v>
      </c>
      <c r="D526" t="s">
        <v>119</v>
      </c>
      <c r="F526" t="s">
        <v>134</v>
      </c>
      <c r="G526" t="s">
        <v>151</v>
      </c>
    </row>
    <row r="527" spans="1:8" x14ac:dyDescent="0.35">
      <c r="A527" s="35" t="s">
        <v>156</v>
      </c>
      <c r="B527" s="35">
        <f>imports2!$N$28*imports2!Y32</f>
        <v>5.5245142747605271E-5</v>
      </c>
      <c r="C527" t="s">
        <v>255</v>
      </c>
      <c r="D527" t="s">
        <v>119</v>
      </c>
      <c r="F527" t="s">
        <v>134</v>
      </c>
      <c r="G527" t="s">
        <v>151</v>
      </c>
      <c r="H527" t="s">
        <v>200</v>
      </c>
    </row>
    <row r="528" spans="1:8" x14ac:dyDescent="0.35">
      <c r="A528" s="35" t="str">
        <f>A513</f>
        <v xml:space="preserve">market for electricity, high voltage IT M0 </v>
      </c>
      <c r="B528" s="35">
        <f>imports2!M28*1.5</f>
        <v>7.4210092933762087E-2</v>
      </c>
      <c r="C528" t="s">
        <v>168</v>
      </c>
      <c r="D528" t="s">
        <v>119</v>
      </c>
      <c r="F528" t="s">
        <v>134</v>
      </c>
      <c r="G528" t="s">
        <v>151</v>
      </c>
    </row>
    <row r="529" spans="1:8" x14ac:dyDescent="0.35">
      <c r="A529" t="s">
        <v>122</v>
      </c>
      <c r="B529" s="35">
        <f>imports2!H29</f>
        <v>5.9591618739746291E-2</v>
      </c>
      <c r="C529" t="s">
        <v>168</v>
      </c>
      <c r="D529" t="s">
        <v>119</v>
      </c>
      <c r="F529" t="s">
        <v>134</v>
      </c>
      <c r="G529" t="s">
        <v>152</v>
      </c>
    </row>
    <row r="530" spans="1:8" x14ac:dyDescent="0.35">
      <c r="A530" t="s">
        <v>121</v>
      </c>
      <c r="B530" s="35">
        <f>imports2!H30</f>
        <v>7.4214590977489642E-2</v>
      </c>
      <c r="C530" t="s">
        <v>168</v>
      </c>
      <c r="D530" t="s">
        <v>119</v>
      </c>
      <c r="F530" t="s">
        <v>134</v>
      </c>
      <c r="G530" t="s">
        <v>152</v>
      </c>
    </row>
    <row r="531" spans="1:8" x14ac:dyDescent="0.35">
      <c r="A531" t="s">
        <v>133</v>
      </c>
      <c r="B531" s="35">
        <f>imports2!H31</f>
        <v>0.23034188291046737</v>
      </c>
      <c r="C531" t="s">
        <v>168</v>
      </c>
      <c r="D531" t="s">
        <v>119</v>
      </c>
      <c r="F531" t="s">
        <v>134</v>
      </c>
      <c r="G531" t="s">
        <v>152</v>
      </c>
    </row>
    <row r="532" spans="1:8" x14ac:dyDescent="0.35">
      <c r="A532" t="s">
        <v>125</v>
      </c>
      <c r="B532" s="35">
        <f>imports2!R33</f>
        <v>6.6544044844740601E-9</v>
      </c>
      <c r="C532" t="s">
        <v>127</v>
      </c>
      <c r="D532" t="s">
        <v>138</v>
      </c>
      <c r="F532" t="s">
        <v>134</v>
      </c>
      <c r="G532" t="s">
        <v>101</v>
      </c>
    </row>
    <row r="533" spans="1:8" x14ac:dyDescent="0.35">
      <c r="A533" t="s">
        <v>124</v>
      </c>
      <c r="B533" s="35">
        <f>imports2!R34</f>
        <v>1.9648610168655699E-10</v>
      </c>
      <c r="C533" t="s">
        <v>127</v>
      </c>
      <c r="D533" t="s">
        <v>138</v>
      </c>
      <c r="F533" t="s">
        <v>134</v>
      </c>
      <c r="G533" t="s">
        <v>102</v>
      </c>
    </row>
    <row r="534" spans="1:8" x14ac:dyDescent="0.35">
      <c r="A534" t="s">
        <v>157</v>
      </c>
      <c r="B534" s="35">
        <f>imports2!R35</f>
        <v>1.6557078487408601E-10</v>
      </c>
      <c r="C534" t="s">
        <v>127</v>
      </c>
      <c r="D534" t="s">
        <v>138</v>
      </c>
      <c r="F534" t="s">
        <v>134</v>
      </c>
      <c r="G534" t="s">
        <v>103</v>
      </c>
    </row>
    <row r="536" spans="1:8" x14ac:dyDescent="0.35">
      <c r="A536" s="36" t="s">
        <v>19</v>
      </c>
      <c r="B536" s="35" t="s">
        <v>326</v>
      </c>
    </row>
    <row r="537" spans="1:8" x14ac:dyDescent="0.35">
      <c r="A537" t="s">
        <v>20</v>
      </c>
      <c r="B537" s="35">
        <v>1</v>
      </c>
    </row>
    <row r="538" spans="1:8" x14ac:dyDescent="0.35">
      <c r="A538" t="s">
        <v>21</v>
      </c>
      <c r="B538" s="35" t="s">
        <v>120</v>
      </c>
    </row>
    <row r="539" spans="1:8" x14ac:dyDescent="0.35">
      <c r="A539" t="s">
        <v>22</v>
      </c>
      <c r="B539" s="35" t="s">
        <v>151</v>
      </c>
    </row>
    <row r="540" spans="1:8" x14ac:dyDescent="0.35">
      <c r="A540" t="s">
        <v>23</v>
      </c>
      <c r="B540" s="35" t="s">
        <v>171</v>
      </c>
    </row>
    <row r="541" spans="1:8" x14ac:dyDescent="0.35">
      <c r="A541" t="s">
        <v>24</v>
      </c>
      <c r="B541" s="35" t="s">
        <v>119</v>
      </c>
    </row>
    <row r="542" spans="1:8" x14ac:dyDescent="0.35">
      <c r="A542" t="s">
        <v>25</v>
      </c>
      <c r="H542" t="s">
        <v>21</v>
      </c>
    </row>
    <row r="543" spans="1:8" x14ac:dyDescent="0.35">
      <c r="A543" t="s">
        <v>26</v>
      </c>
      <c r="B543" s="35" t="s">
        <v>27</v>
      </c>
      <c r="C543" t="s">
        <v>23</v>
      </c>
      <c r="D543" t="s">
        <v>24</v>
      </c>
      <c r="E543" t="s">
        <v>28</v>
      </c>
      <c r="F543" t="s">
        <v>29</v>
      </c>
      <c r="G543" t="s">
        <v>22</v>
      </c>
      <c r="H543" s="35" t="str">
        <f>B538</f>
        <v>RTE scenarios adapted from Ecoinvent - no background data altered</v>
      </c>
    </row>
    <row r="544" spans="1:8" x14ac:dyDescent="0.35">
      <c r="A544" s="35" t="str">
        <f>B536</f>
        <v xml:space="preserve">market for electricity, high voltage ES M0 </v>
      </c>
      <c r="B544" s="35">
        <v>1</v>
      </c>
      <c r="C544" t="s">
        <v>171</v>
      </c>
      <c r="D544" t="s">
        <v>119</v>
      </c>
      <c r="F544" t="s">
        <v>174</v>
      </c>
      <c r="G544" t="s">
        <v>151</v>
      </c>
      <c r="H544" t="s">
        <v>201</v>
      </c>
    </row>
    <row r="545" spans="1:8" x14ac:dyDescent="0.35">
      <c r="A545" s="35" t="str">
        <f>B536</f>
        <v xml:space="preserve">market for electricity, high voltage ES M0 </v>
      </c>
      <c r="B545" s="35">
        <v>3.7364253070203898E-2</v>
      </c>
      <c r="C545" t="s">
        <v>171</v>
      </c>
      <c r="D545" t="s">
        <v>119</v>
      </c>
      <c r="F545" t="s">
        <v>134</v>
      </c>
      <c r="G545" t="s">
        <v>151</v>
      </c>
    </row>
    <row r="546" spans="1:8" x14ac:dyDescent="0.35">
      <c r="A546" t="s">
        <v>92</v>
      </c>
      <c r="B546" s="35">
        <f>imports2!K40</f>
        <v>2.3717975097580838E-2</v>
      </c>
      <c r="C546" t="s">
        <v>171</v>
      </c>
      <c r="D546" t="s">
        <v>119</v>
      </c>
      <c r="F546" t="s">
        <v>134</v>
      </c>
      <c r="G546" t="s">
        <v>151</v>
      </c>
    </row>
    <row r="547" spans="1:8" x14ac:dyDescent="0.35">
      <c r="A547" t="s">
        <v>195</v>
      </c>
      <c r="B547" s="35">
        <f>imports2!K41</f>
        <v>1.2218119891210072E-2</v>
      </c>
      <c r="C547" t="s">
        <v>171</v>
      </c>
      <c r="D547" t="s">
        <v>119</v>
      </c>
      <c r="F547" t="s">
        <v>134</v>
      </c>
      <c r="G547" t="s">
        <v>151</v>
      </c>
    </row>
    <row r="548" spans="1:8" x14ac:dyDescent="0.35">
      <c r="A548" t="s">
        <v>97</v>
      </c>
      <c r="B548" s="35">
        <f>imports2!I40</f>
        <v>0.11161447551055156</v>
      </c>
      <c r="C548" t="s">
        <v>171</v>
      </c>
      <c r="D548" t="s">
        <v>119</v>
      </c>
      <c r="F548" t="s">
        <v>134</v>
      </c>
      <c r="G548" t="s">
        <v>151</v>
      </c>
    </row>
    <row r="549" spans="1:8" x14ac:dyDescent="0.35">
      <c r="A549" s="9" t="s">
        <v>131</v>
      </c>
      <c r="B549" s="35">
        <f>imports2!I42</f>
        <v>6.1438480972824956E-2</v>
      </c>
      <c r="C549" t="s">
        <v>171</v>
      </c>
      <c r="D549" t="s">
        <v>119</v>
      </c>
      <c r="F549" t="s">
        <v>134</v>
      </c>
      <c r="G549" t="s">
        <v>151</v>
      </c>
    </row>
    <row r="550" spans="1:8" x14ac:dyDescent="0.35">
      <c r="A550" t="s">
        <v>123</v>
      </c>
      <c r="B550" s="35">
        <f>imports2!I41</f>
        <v>2.9638127672880423E-4</v>
      </c>
      <c r="C550" t="s">
        <v>171</v>
      </c>
      <c r="D550" t="s">
        <v>119</v>
      </c>
      <c r="F550" t="s">
        <v>134</v>
      </c>
      <c r="G550" t="s">
        <v>151</v>
      </c>
    </row>
    <row r="551" spans="1:8" x14ac:dyDescent="0.35">
      <c r="A551" t="s">
        <v>96</v>
      </c>
      <c r="B551" s="35">
        <f>imports2!J39</f>
        <v>2.8120899537284662E-2</v>
      </c>
      <c r="C551" t="s">
        <v>171</v>
      </c>
      <c r="D551" t="s">
        <v>119</v>
      </c>
      <c r="F551" t="s">
        <v>134</v>
      </c>
      <c r="G551" t="s">
        <v>151</v>
      </c>
    </row>
    <row r="552" spans="1:8" x14ac:dyDescent="0.35">
      <c r="A552" s="10" t="s">
        <v>136</v>
      </c>
      <c r="B552" s="35">
        <f>imports2!L39</f>
        <v>1.9025342775696247E-2</v>
      </c>
      <c r="C552" t="s">
        <v>171</v>
      </c>
      <c r="D552" t="s">
        <v>119</v>
      </c>
      <c r="F552" t="s">
        <v>134</v>
      </c>
      <c r="G552" t="s">
        <v>151</v>
      </c>
      <c r="H552" t="s">
        <v>200</v>
      </c>
    </row>
    <row r="553" spans="1:8" x14ac:dyDescent="0.35">
      <c r="A553" s="35" t="str">
        <f>A545</f>
        <v xml:space="preserve">market for electricity, high voltage ES M0 </v>
      </c>
      <c r="B553" s="35">
        <f>imports2!M39*1.5</f>
        <v>6.9723253449038916E-2</v>
      </c>
      <c r="C553" t="s">
        <v>171</v>
      </c>
      <c r="D553" t="s">
        <v>119</v>
      </c>
      <c r="F553" t="s">
        <v>134</v>
      </c>
      <c r="G553" t="s">
        <v>151</v>
      </c>
    </row>
    <row r="554" spans="1:8" x14ac:dyDescent="0.35">
      <c r="A554" t="s">
        <v>122</v>
      </c>
      <c r="B554" s="35">
        <f>imports2!H40</f>
        <v>6.4011201986494251E-2</v>
      </c>
      <c r="C554" t="s">
        <v>171</v>
      </c>
      <c r="D554" t="s">
        <v>119</v>
      </c>
      <c r="F554" t="s">
        <v>134</v>
      </c>
      <c r="G554" t="s">
        <v>152</v>
      </c>
    </row>
    <row r="555" spans="1:8" x14ac:dyDescent="0.35">
      <c r="A555" t="s">
        <v>121</v>
      </c>
      <c r="B555" s="35">
        <f>imports2!H41</f>
        <v>7.974407572717343E-2</v>
      </c>
      <c r="C555" t="s">
        <v>171</v>
      </c>
      <c r="D555" t="s">
        <v>119</v>
      </c>
      <c r="F555" t="s">
        <v>134</v>
      </c>
      <c r="G555" t="s">
        <v>152</v>
      </c>
    </row>
    <row r="556" spans="1:8" x14ac:dyDescent="0.35">
      <c r="A556" t="s">
        <v>133</v>
      </c>
      <c r="B556" s="35">
        <f>imports2!H42</f>
        <v>9.6772597848279851E-2</v>
      </c>
      <c r="C556" t="s">
        <v>171</v>
      </c>
      <c r="D556" t="s">
        <v>119</v>
      </c>
      <c r="F556" t="s">
        <v>134</v>
      </c>
      <c r="G556" t="s">
        <v>152</v>
      </c>
    </row>
    <row r="557" spans="1:8" x14ac:dyDescent="0.35">
      <c r="A557" t="s">
        <v>125</v>
      </c>
      <c r="B557" s="35">
        <f>imports2!R45</f>
        <v>4.94760991840923E-9</v>
      </c>
      <c r="C557" t="s">
        <v>127</v>
      </c>
      <c r="D557" t="s">
        <v>138</v>
      </c>
      <c r="F557" t="s">
        <v>134</v>
      </c>
      <c r="G557" t="s">
        <v>101</v>
      </c>
    </row>
    <row r="558" spans="1:8" x14ac:dyDescent="0.35">
      <c r="A558" t="s">
        <v>124</v>
      </c>
      <c r="B558" s="35">
        <f>imports2!R46</f>
        <v>1.2961596435765799E-10</v>
      </c>
      <c r="C558" t="s">
        <v>127</v>
      </c>
      <c r="D558" t="s">
        <v>138</v>
      </c>
      <c r="F558" t="s">
        <v>134</v>
      </c>
      <c r="G558" t="s">
        <v>102</v>
      </c>
    </row>
    <row r="559" spans="1:8" x14ac:dyDescent="0.35">
      <c r="A559" t="s">
        <v>157</v>
      </c>
      <c r="B559" s="35">
        <f>imports2!R47</f>
        <v>1.0194905896113601E-10</v>
      </c>
      <c r="C559" t="s">
        <v>127</v>
      </c>
      <c r="D559" t="s">
        <v>138</v>
      </c>
      <c r="F559" t="s">
        <v>134</v>
      </c>
      <c r="G559" t="s">
        <v>103</v>
      </c>
    </row>
    <row r="562" spans="1:8" x14ac:dyDescent="0.35">
      <c r="A562" s="36" t="s">
        <v>19</v>
      </c>
      <c r="B562" s="35" t="s">
        <v>327</v>
      </c>
    </row>
    <row r="563" spans="1:8" x14ac:dyDescent="0.35">
      <c r="A563" t="s">
        <v>20</v>
      </c>
      <c r="B563" s="35">
        <v>1</v>
      </c>
    </row>
    <row r="564" spans="1:8" x14ac:dyDescent="0.35">
      <c r="A564" t="s">
        <v>21</v>
      </c>
      <c r="B564" s="35" t="s">
        <v>120</v>
      </c>
    </row>
    <row r="565" spans="1:8" x14ac:dyDescent="0.35">
      <c r="A565" t="s">
        <v>22</v>
      </c>
      <c r="B565" s="35" t="s">
        <v>151</v>
      </c>
    </row>
    <row r="566" spans="1:8" x14ac:dyDescent="0.35">
      <c r="A566" t="s">
        <v>23</v>
      </c>
      <c r="B566" s="35" t="s">
        <v>12</v>
      </c>
    </row>
    <row r="567" spans="1:8" x14ac:dyDescent="0.35">
      <c r="A567" t="s">
        <v>24</v>
      </c>
      <c r="B567" s="35" t="s">
        <v>119</v>
      </c>
    </row>
    <row r="568" spans="1:8" x14ac:dyDescent="0.35">
      <c r="A568" t="s">
        <v>25</v>
      </c>
      <c r="H568" t="s">
        <v>21</v>
      </c>
    </row>
    <row r="569" spans="1:8" x14ac:dyDescent="0.35">
      <c r="A569" t="s">
        <v>26</v>
      </c>
      <c r="B569" s="35" t="s">
        <v>27</v>
      </c>
      <c r="C569" t="s">
        <v>23</v>
      </c>
      <c r="D569" t="s">
        <v>24</v>
      </c>
      <c r="E569" t="s">
        <v>28</v>
      </c>
      <c r="F569" t="s">
        <v>29</v>
      </c>
      <c r="G569" t="s">
        <v>22</v>
      </c>
      <c r="H569" s="35" t="str">
        <f>B564</f>
        <v>RTE scenarios adapted from Ecoinvent - no background data altered</v>
      </c>
    </row>
    <row r="570" spans="1:8" x14ac:dyDescent="0.35">
      <c r="A570" s="35" t="str">
        <f>B562</f>
        <v xml:space="preserve">market for electricity, high voltage BE M0 </v>
      </c>
      <c r="B570" s="35">
        <v>1</v>
      </c>
      <c r="C570" t="s">
        <v>12</v>
      </c>
      <c r="D570" t="s">
        <v>119</v>
      </c>
      <c r="F570" t="s">
        <v>174</v>
      </c>
      <c r="G570" t="s">
        <v>151</v>
      </c>
      <c r="H570" t="s">
        <v>230</v>
      </c>
    </row>
    <row r="571" spans="1:8" x14ac:dyDescent="0.35">
      <c r="A571" s="35" t="str">
        <f>B562</f>
        <v xml:space="preserve">market for electricity, high voltage BE M0 </v>
      </c>
      <c r="B571" s="35">
        <f>imports2!F71+imports2!G49</f>
        <v>0.22922391263786926</v>
      </c>
      <c r="C571" t="s">
        <v>12</v>
      </c>
      <c r="D571" t="s">
        <v>119</v>
      </c>
      <c r="F571" t="s">
        <v>134</v>
      </c>
      <c r="G571" t="s">
        <v>151</v>
      </c>
    </row>
    <row r="572" spans="1:8" x14ac:dyDescent="0.35">
      <c r="A572" t="s">
        <v>90</v>
      </c>
      <c r="B572" s="35">
        <f>imports2!G50</f>
        <v>9.1908439025275221E-3</v>
      </c>
      <c r="C572" t="s">
        <v>12</v>
      </c>
      <c r="D572" t="s">
        <v>119</v>
      </c>
      <c r="F572" t="s">
        <v>134</v>
      </c>
      <c r="G572" t="s">
        <v>151</v>
      </c>
    </row>
    <row r="573" spans="1:8" x14ac:dyDescent="0.35">
      <c r="A573" t="s">
        <v>92</v>
      </c>
      <c r="B573" s="35">
        <f>imports2!G53</f>
        <v>3.1570005215688281E-3</v>
      </c>
      <c r="C573" t="s">
        <v>12</v>
      </c>
      <c r="D573" t="s">
        <v>119</v>
      </c>
      <c r="F573" t="s">
        <v>134</v>
      </c>
      <c r="G573" t="s">
        <v>151</v>
      </c>
    </row>
    <row r="574" spans="1:8" x14ac:dyDescent="0.35">
      <c r="A574" t="s">
        <v>96</v>
      </c>
      <c r="B574" s="35">
        <f>imports2!G54</f>
        <v>4.009085504727028E-2</v>
      </c>
      <c r="C574" t="s">
        <v>12</v>
      </c>
      <c r="D574" t="s">
        <v>119</v>
      </c>
      <c r="F574" t="s">
        <v>134</v>
      </c>
      <c r="G574" t="s">
        <v>151</v>
      </c>
    </row>
    <row r="575" spans="1:8" x14ac:dyDescent="0.35">
      <c r="A575" t="s">
        <v>132</v>
      </c>
      <c r="B575" s="35">
        <f>imports2!G56</f>
        <v>0.43200142560211408</v>
      </c>
      <c r="C575" t="s">
        <v>12</v>
      </c>
      <c r="D575" t="s">
        <v>119</v>
      </c>
      <c r="F575" t="s">
        <v>134</v>
      </c>
      <c r="G575" t="s">
        <v>151</v>
      </c>
    </row>
    <row r="576" spans="1:8" x14ac:dyDescent="0.35">
      <c r="A576" t="s">
        <v>123</v>
      </c>
      <c r="B576" s="35">
        <f>imports2!G58</f>
        <v>6.2704498274183266E-3</v>
      </c>
      <c r="C576" t="s">
        <v>12</v>
      </c>
      <c r="D576" t="s">
        <v>119</v>
      </c>
      <c r="F576" t="s">
        <v>134</v>
      </c>
      <c r="G576" t="s">
        <v>151</v>
      </c>
    </row>
    <row r="577" spans="1:8" x14ac:dyDescent="0.35">
      <c r="A577" t="s">
        <v>218</v>
      </c>
      <c r="B577" s="35">
        <f>imports2!G63</f>
        <v>2.2117724493565531E-2</v>
      </c>
      <c r="C577" t="s">
        <v>12</v>
      </c>
      <c r="D577" t="s">
        <v>119</v>
      </c>
      <c r="F577" t="s">
        <v>134</v>
      </c>
      <c r="G577" t="s">
        <v>151</v>
      </c>
    </row>
    <row r="578" spans="1:8" x14ac:dyDescent="0.35">
      <c r="A578" t="s">
        <v>97</v>
      </c>
      <c r="B578" s="35">
        <f>imports2!G64</f>
        <v>5.3143174443699585E-2</v>
      </c>
      <c r="C578" t="s">
        <v>12</v>
      </c>
      <c r="D578" t="s">
        <v>119</v>
      </c>
      <c r="F578" t="s">
        <v>134</v>
      </c>
      <c r="G578" t="s">
        <v>151</v>
      </c>
    </row>
    <row r="579" spans="1:8" x14ac:dyDescent="0.35">
      <c r="A579" t="s">
        <v>196</v>
      </c>
      <c r="B579" s="35">
        <f>imports2!G65</f>
        <v>3.3712085572547611E-3</v>
      </c>
      <c r="C579" t="s">
        <v>12</v>
      </c>
      <c r="D579" t="s">
        <v>119</v>
      </c>
      <c r="F579" t="s">
        <v>134</v>
      </c>
      <c r="G579" t="s">
        <v>151</v>
      </c>
    </row>
    <row r="580" spans="1:8" x14ac:dyDescent="0.35">
      <c r="A580" t="s">
        <v>131</v>
      </c>
      <c r="B580" s="35">
        <f>imports2!G70</f>
        <v>1.5753243368237799E-3</v>
      </c>
      <c r="C580" t="s">
        <v>12</v>
      </c>
      <c r="D580" t="s">
        <v>119</v>
      </c>
      <c r="F580" t="s">
        <v>134</v>
      </c>
      <c r="G580" t="s">
        <v>151</v>
      </c>
    </row>
    <row r="581" spans="1:8" x14ac:dyDescent="0.35">
      <c r="A581" s="35" t="s">
        <v>323</v>
      </c>
      <c r="B581" s="35">
        <f>imports2!H69</f>
        <v>1.3346874905555593E-3</v>
      </c>
      <c r="C581" t="s">
        <v>169</v>
      </c>
      <c r="D581" t="s">
        <v>119</v>
      </c>
      <c r="F581" t="s">
        <v>134</v>
      </c>
      <c r="G581" t="s">
        <v>151</v>
      </c>
      <c r="H581" t="s">
        <v>198</v>
      </c>
    </row>
    <row r="582" spans="1:8" x14ac:dyDescent="0.35">
      <c r="A582" s="35" t="str">
        <f>B6</f>
        <v>market for electricity, high voltage M0</v>
      </c>
      <c r="B582" s="35">
        <f>imports2!H68</f>
        <v>6.9830342662515907E-2</v>
      </c>
      <c r="C582" t="s">
        <v>31</v>
      </c>
      <c r="D582" t="s">
        <v>119</v>
      </c>
      <c r="F582" t="s">
        <v>134</v>
      </c>
      <c r="G582" t="s">
        <v>151</v>
      </c>
    </row>
    <row r="583" spans="1:8" x14ac:dyDescent="0.35">
      <c r="A583" t="s">
        <v>156</v>
      </c>
      <c r="B583" s="35">
        <f>imports2!H51</f>
        <v>8.5741000184423437E-4</v>
      </c>
      <c r="C583" t="s">
        <v>256</v>
      </c>
      <c r="D583" t="s">
        <v>119</v>
      </c>
      <c r="F583" t="s">
        <v>134</v>
      </c>
      <c r="G583" t="s">
        <v>151</v>
      </c>
    </row>
    <row r="584" spans="1:8" x14ac:dyDescent="0.35">
      <c r="A584" t="s">
        <v>156</v>
      </c>
      <c r="B584" s="35">
        <f>imports2!H67</f>
        <v>6.2443100823966341E-2</v>
      </c>
      <c r="C584" t="s">
        <v>247</v>
      </c>
      <c r="D584" t="s">
        <v>119</v>
      </c>
      <c r="F584" t="s">
        <v>134</v>
      </c>
      <c r="G584" t="s">
        <v>151</v>
      </c>
    </row>
    <row r="585" spans="1:8" x14ac:dyDescent="0.35">
      <c r="A585" s="9" t="s">
        <v>122</v>
      </c>
      <c r="B585" s="35">
        <f>imports2!H77</f>
        <v>2.0631916101271498E-2</v>
      </c>
      <c r="C585" t="s">
        <v>12</v>
      </c>
      <c r="D585" t="s">
        <v>119</v>
      </c>
      <c r="F585" t="s">
        <v>134</v>
      </c>
      <c r="G585" t="s">
        <v>152</v>
      </c>
    </row>
    <row r="586" spans="1:8" x14ac:dyDescent="0.35">
      <c r="A586" s="9" t="s">
        <v>121</v>
      </c>
      <c r="B586" s="35">
        <f>imports2!H78</f>
        <v>4.1263832202542997E-2</v>
      </c>
      <c r="C586" t="s">
        <v>12</v>
      </c>
      <c r="D586" t="s">
        <v>119</v>
      </c>
      <c r="F586" t="s">
        <v>134</v>
      </c>
      <c r="G586" t="s">
        <v>152</v>
      </c>
    </row>
    <row r="587" spans="1:8" x14ac:dyDescent="0.35">
      <c r="A587" t="s">
        <v>133</v>
      </c>
      <c r="B587" s="35">
        <f>imports2!H79</f>
        <v>2.0631916101271498E-2</v>
      </c>
      <c r="C587" t="s">
        <v>12</v>
      </c>
      <c r="D587" t="s">
        <v>119</v>
      </c>
      <c r="F587" t="s">
        <v>134</v>
      </c>
      <c r="G587" t="s">
        <v>152</v>
      </c>
    </row>
    <row r="588" spans="1:8" x14ac:dyDescent="0.35">
      <c r="A588" t="s">
        <v>125</v>
      </c>
      <c r="B588" s="35">
        <f>imports2!G74</f>
        <v>2.1426993590677398E-9</v>
      </c>
      <c r="C588" t="s">
        <v>127</v>
      </c>
      <c r="D588" t="s">
        <v>138</v>
      </c>
      <c r="F588" t="s">
        <v>134</v>
      </c>
      <c r="G588" t="s">
        <v>101</v>
      </c>
    </row>
    <row r="589" spans="1:8" x14ac:dyDescent="0.35">
      <c r="A589" t="s">
        <v>124</v>
      </c>
      <c r="B589" s="35">
        <f>imports2!G75</f>
        <v>1.16401360225082E-9</v>
      </c>
      <c r="C589" t="s">
        <v>127</v>
      </c>
      <c r="D589" t="s">
        <v>138</v>
      </c>
      <c r="F589" t="s">
        <v>134</v>
      </c>
      <c r="G589" t="s">
        <v>102</v>
      </c>
    </row>
    <row r="592" spans="1:8" x14ac:dyDescent="0.35">
      <c r="A592" s="36" t="s">
        <v>19</v>
      </c>
      <c r="B592" s="35" t="s">
        <v>294</v>
      </c>
    </row>
    <row r="593" spans="1:8" x14ac:dyDescent="0.35">
      <c r="A593" t="s">
        <v>20</v>
      </c>
      <c r="B593" s="35">
        <v>1</v>
      </c>
    </row>
    <row r="594" spans="1:8" x14ac:dyDescent="0.35">
      <c r="A594" t="s">
        <v>21</v>
      </c>
      <c r="B594" s="35" t="s">
        <v>120</v>
      </c>
    </row>
    <row r="595" spans="1:8" x14ac:dyDescent="0.35">
      <c r="A595" t="s">
        <v>22</v>
      </c>
      <c r="B595" s="35" t="s">
        <v>151</v>
      </c>
    </row>
    <row r="596" spans="1:8" x14ac:dyDescent="0.35">
      <c r="A596" t="s">
        <v>23</v>
      </c>
      <c r="B596" s="35" t="s">
        <v>170</v>
      </c>
    </row>
    <row r="597" spans="1:8" x14ac:dyDescent="0.35">
      <c r="A597" t="s">
        <v>24</v>
      </c>
      <c r="B597" s="35" t="s">
        <v>119</v>
      </c>
    </row>
    <row r="598" spans="1:8" x14ac:dyDescent="0.35">
      <c r="A598" t="s">
        <v>25</v>
      </c>
      <c r="H598" t="s">
        <v>21</v>
      </c>
    </row>
    <row r="599" spans="1:8" x14ac:dyDescent="0.35">
      <c r="A599" t="s">
        <v>26</v>
      </c>
      <c r="B599" s="35" t="s">
        <v>27</v>
      </c>
      <c r="C599" t="s">
        <v>23</v>
      </c>
      <c r="D599" t="s">
        <v>24</v>
      </c>
      <c r="E599" t="s">
        <v>28</v>
      </c>
      <c r="F599" t="s">
        <v>29</v>
      </c>
      <c r="G599" t="s">
        <v>22</v>
      </c>
      <c r="H599" s="35" t="str">
        <f>B448</f>
        <v>RTE scenarios adapted from Ecoinvent - no background data altered</v>
      </c>
    </row>
    <row r="600" spans="1:8" x14ac:dyDescent="0.35">
      <c r="A600" s="35" t="str">
        <f>B592</f>
        <v xml:space="preserve">market for electricity, high voltage DE M1 </v>
      </c>
      <c r="B600" s="35">
        <v>1</v>
      </c>
      <c r="C600" t="s">
        <v>170</v>
      </c>
      <c r="D600" t="s">
        <v>119</v>
      </c>
      <c r="F600" t="s">
        <v>174</v>
      </c>
      <c r="G600" t="s">
        <v>151</v>
      </c>
      <c r="H600" t="s">
        <v>201</v>
      </c>
    </row>
    <row r="601" spans="1:8" x14ac:dyDescent="0.35">
      <c r="A601" s="35" t="str">
        <f>B592</f>
        <v xml:space="preserve">market for electricity, high voltage DE M1 </v>
      </c>
      <c r="B601" s="35">
        <v>2.1779170075109801E-2</v>
      </c>
      <c r="C601" t="s">
        <v>170</v>
      </c>
      <c r="D601" t="s">
        <v>119</v>
      </c>
      <c r="F601" t="s">
        <v>134</v>
      </c>
      <c r="G601" t="s">
        <v>151</v>
      </c>
    </row>
    <row r="602" spans="1:8" x14ac:dyDescent="0.35">
      <c r="A602" t="s">
        <v>195</v>
      </c>
      <c r="B602" s="35">
        <f>imports2!K6</f>
        <v>1.659558553020022E-2</v>
      </c>
      <c r="C602" t="s">
        <v>170</v>
      </c>
      <c r="D602" t="s">
        <v>119</v>
      </c>
      <c r="F602" t="s">
        <v>134</v>
      </c>
      <c r="G602" t="s">
        <v>151</v>
      </c>
    </row>
    <row r="603" spans="1:8" x14ac:dyDescent="0.35">
      <c r="A603" t="s">
        <v>97</v>
      </c>
      <c r="B603" s="35">
        <f>imports2!I8</f>
        <v>0.27054578589139044</v>
      </c>
      <c r="C603" t="s">
        <v>170</v>
      </c>
      <c r="D603" t="s">
        <v>119</v>
      </c>
      <c r="F603" t="s">
        <v>134</v>
      </c>
      <c r="G603" t="s">
        <v>151</v>
      </c>
    </row>
    <row r="604" spans="1:8" x14ac:dyDescent="0.35">
      <c r="A604" s="9" t="s">
        <v>131</v>
      </c>
      <c r="B604" s="35">
        <f>imports2!I7</f>
        <v>4.9312830192547452E-2</v>
      </c>
      <c r="C604" t="s">
        <v>170</v>
      </c>
      <c r="D604" t="s">
        <v>119</v>
      </c>
      <c r="F604" t="s">
        <v>134</v>
      </c>
      <c r="G604" t="s">
        <v>151</v>
      </c>
    </row>
    <row r="605" spans="1:8" x14ac:dyDescent="0.35">
      <c r="A605" t="s">
        <v>123</v>
      </c>
      <c r="B605" s="35">
        <f>imports2!I9</f>
        <v>2.9626981034993907E-2</v>
      </c>
      <c r="C605" t="s">
        <v>170</v>
      </c>
      <c r="D605" t="s">
        <v>119</v>
      </c>
      <c r="F605" t="s">
        <v>134</v>
      </c>
      <c r="G605" t="s">
        <v>151</v>
      </c>
    </row>
    <row r="606" spans="1:8" x14ac:dyDescent="0.35">
      <c r="A606" t="s">
        <v>96</v>
      </c>
      <c r="B606" s="35">
        <f>imports2!J6</f>
        <v>0.258390264249312</v>
      </c>
      <c r="C606" t="s">
        <v>170</v>
      </c>
      <c r="D606" t="s">
        <v>119</v>
      </c>
      <c r="F606" t="s">
        <v>134</v>
      </c>
      <c r="G606" t="s">
        <v>151</v>
      </c>
    </row>
    <row r="607" spans="1:8" x14ac:dyDescent="0.35">
      <c r="A607" s="10" t="s">
        <v>136</v>
      </c>
      <c r="B607" s="35">
        <f>imports2!L6</f>
        <v>0.10321602730126453</v>
      </c>
      <c r="C607" t="s">
        <v>170</v>
      </c>
      <c r="D607" t="s">
        <v>119</v>
      </c>
      <c r="F607" t="s">
        <v>134</v>
      </c>
      <c r="G607" t="s">
        <v>151</v>
      </c>
      <c r="H607" t="s">
        <v>198</v>
      </c>
    </row>
    <row r="608" spans="1:8" x14ac:dyDescent="0.35">
      <c r="A608" s="35" t="s">
        <v>328</v>
      </c>
      <c r="B608" s="35">
        <f>imports2!N6*imports2!Y3</f>
        <v>2.5669550461059169E-2</v>
      </c>
      <c r="C608" t="s">
        <v>31</v>
      </c>
      <c r="D608" t="s">
        <v>119</v>
      </c>
      <c r="F608" t="s">
        <v>134</v>
      </c>
      <c r="G608" t="s">
        <v>151</v>
      </c>
      <c r="H608" t="s">
        <v>216</v>
      </c>
    </row>
    <row r="609" spans="1:8" x14ac:dyDescent="0.35">
      <c r="A609" s="35" t="s">
        <v>156</v>
      </c>
      <c r="B609" s="35">
        <f>imports2!N6*imports2!Y7</f>
        <v>1.1019349007980479E-2</v>
      </c>
      <c r="C609" t="s">
        <v>130</v>
      </c>
      <c r="D609" t="s">
        <v>119</v>
      </c>
      <c r="F609" t="s">
        <v>134</v>
      </c>
      <c r="G609" t="s">
        <v>151</v>
      </c>
    </row>
    <row r="610" spans="1:8" x14ac:dyDescent="0.35">
      <c r="A610" s="35" t="s">
        <v>156</v>
      </c>
      <c r="B610" s="35">
        <f>imports2!$N$6*imports2!Y4</f>
        <v>5.0543178546670385E-3</v>
      </c>
      <c r="C610" t="s">
        <v>246</v>
      </c>
      <c r="D610" t="s">
        <v>119</v>
      </c>
      <c r="F610" t="s">
        <v>134</v>
      </c>
      <c r="G610" t="s">
        <v>151</v>
      </c>
    </row>
    <row r="611" spans="1:8" x14ac:dyDescent="0.35">
      <c r="A611" s="35" t="s">
        <v>156</v>
      </c>
      <c r="B611" s="35">
        <f>imports2!$N$6*imports2!Y5</f>
        <v>8.3089711736804503E-3</v>
      </c>
      <c r="C611" t="s">
        <v>247</v>
      </c>
      <c r="D611" t="s">
        <v>119</v>
      </c>
      <c r="F611" t="s">
        <v>134</v>
      </c>
      <c r="G611" t="s">
        <v>151</v>
      </c>
    </row>
    <row r="612" spans="1:8" x14ac:dyDescent="0.35">
      <c r="A612" s="35" t="s">
        <v>156</v>
      </c>
      <c r="B612" s="35">
        <f>imports2!$N$6*imports2!Y6</f>
        <v>3.2932901996355329E-5</v>
      </c>
      <c r="C612" t="s">
        <v>248</v>
      </c>
      <c r="D612" t="s">
        <v>119</v>
      </c>
      <c r="F612" t="s">
        <v>134</v>
      </c>
      <c r="G612" t="s">
        <v>151</v>
      </c>
    </row>
    <row r="613" spans="1:8" x14ac:dyDescent="0.35">
      <c r="A613" s="35" t="s">
        <v>156</v>
      </c>
      <c r="B613" s="35">
        <f>imports2!$N$6*imports2!Y8</f>
        <v>2.1966245631568995E-3</v>
      </c>
      <c r="C613" t="s">
        <v>249</v>
      </c>
      <c r="D613" t="s">
        <v>119</v>
      </c>
      <c r="F613" t="s">
        <v>134</v>
      </c>
      <c r="G613" t="s">
        <v>151</v>
      </c>
    </row>
    <row r="614" spans="1:8" x14ac:dyDescent="0.35">
      <c r="A614" s="35" t="s">
        <v>156</v>
      </c>
      <c r="B614" s="35">
        <f>imports2!$N$6*imports2!Y9</f>
        <v>8.0290415067114304E-3</v>
      </c>
      <c r="C614" t="s">
        <v>250</v>
      </c>
      <c r="D614" t="s">
        <v>119</v>
      </c>
      <c r="F614" t="s">
        <v>134</v>
      </c>
      <c r="G614" t="s">
        <v>151</v>
      </c>
    </row>
    <row r="615" spans="1:8" x14ac:dyDescent="0.35">
      <c r="A615" s="35" t="s">
        <v>156</v>
      </c>
      <c r="B615" s="35">
        <f>imports2!$N$6*imports2!Y10</f>
        <v>5.6726923688722062E-3</v>
      </c>
      <c r="C615" t="s">
        <v>251</v>
      </c>
      <c r="D615" t="s">
        <v>119</v>
      </c>
      <c r="F615" t="s">
        <v>134</v>
      </c>
      <c r="G615" t="s">
        <v>151</v>
      </c>
      <c r="H615" t="s">
        <v>200</v>
      </c>
    </row>
    <row r="616" spans="1:8" x14ac:dyDescent="0.35">
      <c r="A616" s="35" t="str">
        <f>A601</f>
        <v xml:space="preserve">market for electricity, high voltage DE M1 </v>
      </c>
      <c r="B616" s="35">
        <f>imports2!M6*1.5</f>
        <v>4.567915761376859E-2</v>
      </c>
      <c r="C616" t="s">
        <v>170</v>
      </c>
      <c r="D616" t="s">
        <v>119</v>
      </c>
      <c r="F616" t="s">
        <v>134</v>
      </c>
      <c r="G616" t="s">
        <v>151</v>
      </c>
    </row>
    <row r="617" spans="1:8" x14ac:dyDescent="0.35">
      <c r="A617" t="s">
        <v>122</v>
      </c>
      <c r="B617" s="35">
        <f>imports2!H7</f>
        <v>2.8781564673414417E-2</v>
      </c>
      <c r="C617" t="s">
        <v>170</v>
      </c>
      <c r="D617" t="s">
        <v>119</v>
      </c>
      <c r="F617" t="s">
        <v>134</v>
      </c>
      <c r="G617" t="s">
        <v>152</v>
      </c>
    </row>
    <row r="618" spans="1:8" x14ac:dyDescent="0.35">
      <c r="A618" t="s">
        <v>121</v>
      </c>
      <c r="B618" s="35">
        <f>imports2!H8</f>
        <v>3.5844168946948626E-2</v>
      </c>
      <c r="C618" t="s">
        <v>170</v>
      </c>
      <c r="D618" t="s">
        <v>119</v>
      </c>
      <c r="F618" t="s">
        <v>134</v>
      </c>
      <c r="G618" t="s">
        <v>152</v>
      </c>
    </row>
    <row r="619" spans="1:8" x14ac:dyDescent="0.35">
      <c r="A619" t="s">
        <v>133</v>
      </c>
      <c r="B619" s="35">
        <f>imports2!H9</f>
        <v>0.11125054059929187</v>
      </c>
      <c r="C619" t="s">
        <v>170</v>
      </c>
      <c r="D619" t="s">
        <v>119</v>
      </c>
      <c r="F619" t="s">
        <v>134</v>
      </c>
      <c r="G619" t="s">
        <v>152</v>
      </c>
    </row>
    <row r="620" spans="1:8" x14ac:dyDescent="0.35">
      <c r="A620" t="s">
        <v>125</v>
      </c>
      <c r="B620" s="35">
        <f>imports2!S10</f>
        <v>2.1621783573657501E-9</v>
      </c>
      <c r="C620" t="s">
        <v>127</v>
      </c>
      <c r="D620" t="s">
        <v>138</v>
      </c>
      <c r="F620" t="s">
        <v>134</v>
      </c>
      <c r="G620" t="s">
        <v>101</v>
      </c>
    </row>
    <row r="623" spans="1:8" x14ac:dyDescent="0.35">
      <c r="A623" s="36" t="s">
        <v>19</v>
      </c>
      <c r="B623" s="35" t="s">
        <v>293</v>
      </c>
    </row>
    <row r="624" spans="1:8" x14ac:dyDescent="0.35">
      <c r="A624" t="s">
        <v>20</v>
      </c>
      <c r="B624" s="35">
        <v>1</v>
      </c>
    </row>
    <row r="625" spans="1:8" x14ac:dyDescent="0.35">
      <c r="A625" t="s">
        <v>21</v>
      </c>
      <c r="B625" s="35" t="s">
        <v>120</v>
      </c>
    </row>
    <row r="626" spans="1:8" x14ac:dyDescent="0.35">
      <c r="A626" t="s">
        <v>22</v>
      </c>
      <c r="B626" s="35" t="s">
        <v>151</v>
      </c>
    </row>
    <row r="627" spans="1:8" x14ac:dyDescent="0.35">
      <c r="A627" t="s">
        <v>23</v>
      </c>
      <c r="B627" s="35" t="s">
        <v>169</v>
      </c>
    </row>
    <row r="628" spans="1:8" x14ac:dyDescent="0.35">
      <c r="A628" t="s">
        <v>24</v>
      </c>
      <c r="B628" s="35" t="s">
        <v>119</v>
      </c>
    </row>
    <row r="629" spans="1:8" x14ac:dyDescent="0.35">
      <c r="A629" t="s">
        <v>25</v>
      </c>
      <c r="H629" t="s">
        <v>21</v>
      </c>
    </row>
    <row r="630" spans="1:8" x14ac:dyDescent="0.35">
      <c r="A630" t="s">
        <v>26</v>
      </c>
      <c r="B630" s="35" t="s">
        <v>27</v>
      </c>
      <c r="C630" t="s">
        <v>23</v>
      </c>
      <c r="D630" t="s">
        <v>24</v>
      </c>
      <c r="E630" t="s">
        <v>28</v>
      </c>
      <c r="F630" t="s">
        <v>29</v>
      </c>
      <c r="G630" t="s">
        <v>22</v>
      </c>
      <c r="H630" s="35" t="str">
        <f>B479</f>
        <v>RTE scenarios adapted from Ecoinvent - no background data altered</v>
      </c>
    </row>
    <row r="631" spans="1:8" x14ac:dyDescent="0.35">
      <c r="A631" s="35" t="str">
        <f>B623</f>
        <v xml:space="preserve">market for electricity, high voltage GB M1 </v>
      </c>
      <c r="B631" s="35">
        <v>1</v>
      </c>
      <c r="C631" t="s">
        <v>169</v>
      </c>
      <c r="D631" t="s">
        <v>119</v>
      </c>
      <c r="F631" t="s">
        <v>174</v>
      </c>
      <c r="G631" t="s">
        <v>151</v>
      </c>
      <c r="H631" t="s">
        <v>201</v>
      </c>
    </row>
    <row r="632" spans="1:8" x14ac:dyDescent="0.35">
      <c r="A632" s="35" t="str">
        <f>B623</f>
        <v xml:space="preserve">market for electricity, high voltage GB M1 </v>
      </c>
      <c r="B632" s="35">
        <v>3.26941222043741E-2</v>
      </c>
      <c r="C632" t="s">
        <v>169</v>
      </c>
      <c r="D632" t="s">
        <v>119</v>
      </c>
      <c r="F632" t="s">
        <v>134</v>
      </c>
      <c r="G632" t="s">
        <v>151</v>
      </c>
    </row>
    <row r="633" spans="1:8" x14ac:dyDescent="0.35">
      <c r="A633" t="s">
        <v>132</v>
      </c>
      <c r="B633" s="35">
        <f>imports2!G19</f>
        <v>1.3243315951176915E-2</v>
      </c>
      <c r="C633" t="s">
        <v>169</v>
      </c>
      <c r="D633" t="s">
        <v>119</v>
      </c>
      <c r="F633" t="s">
        <v>134</v>
      </c>
      <c r="G633" t="s">
        <v>151</v>
      </c>
    </row>
    <row r="634" spans="1:8" x14ac:dyDescent="0.35">
      <c r="A634" t="s">
        <v>199</v>
      </c>
      <c r="B634" s="35">
        <f>imports2!G18</f>
        <v>8.9405658518934977E-2</v>
      </c>
      <c r="C634" t="s">
        <v>169</v>
      </c>
      <c r="D634" t="s">
        <v>119</v>
      </c>
      <c r="F634" t="s">
        <v>134</v>
      </c>
      <c r="G634" t="s">
        <v>151</v>
      </c>
    </row>
    <row r="635" spans="1:8" x14ac:dyDescent="0.35">
      <c r="A635" t="s">
        <v>92</v>
      </c>
      <c r="B635" s="35">
        <f>imports2!K17</f>
        <v>3.8125908706551755E-2</v>
      </c>
      <c r="C635" t="s">
        <v>169</v>
      </c>
      <c r="D635" t="s">
        <v>119</v>
      </c>
      <c r="F635" t="s">
        <v>134</v>
      </c>
      <c r="G635" t="s">
        <v>151</v>
      </c>
    </row>
    <row r="636" spans="1:8" x14ac:dyDescent="0.35">
      <c r="A636" t="s">
        <v>97</v>
      </c>
      <c r="B636" s="35">
        <f>imports2!I20</f>
        <v>1.367831651297859E-2</v>
      </c>
      <c r="C636" t="s">
        <v>169</v>
      </c>
      <c r="D636" t="s">
        <v>119</v>
      </c>
      <c r="F636" t="s">
        <v>134</v>
      </c>
      <c r="G636" t="s">
        <v>151</v>
      </c>
    </row>
    <row r="637" spans="1:8" x14ac:dyDescent="0.35">
      <c r="A637" s="9" t="s">
        <v>131</v>
      </c>
      <c r="B637" s="35">
        <f>imports2!I18</f>
        <v>1.6512085966431005E-3</v>
      </c>
      <c r="C637" t="s">
        <v>169</v>
      </c>
      <c r="D637" t="s">
        <v>119</v>
      </c>
      <c r="F637" t="s">
        <v>134</v>
      </c>
      <c r="G637" t="s">
        <v>151</v>
      </c>
    </row>
    <row r="638" spans="1:8" x14ac:dyDescent="0.35">
      <c r="A638" t="s">
        <v>123</v>
      </c>
      <c r="B638" s="35">
        <f>imports2!I19</f>
        <v>9.6100156529368226E-4</v>
      </c>
      <c r="C638" t="s">
        <v>169</v>
      </c>
      <c r="D638" t="s">
        <v>119</v>
      </c>
      <c r="F638" t="s">
        <v>134</v>
      </c>
      <c r="G638" t="s">
        <v>151</v>
      </c>
    </row>
    <row r="639" spans="1:8" x14ac:dyDescent="0.35">
      <c r="A639" t="s">
        <v>96</v>
      </c>
      <c r="B639" s="35">
        <f>imports2!J17</f>
        <v>0.29280430490324977</v>
      </c>
      <c r="C639" t="s">
        <v>169</v>
      </c>
      <c r="D639" t="s">
        <v>119</v>
      </c>
      <c r="F639" t="s">
        <v>134</v>
      </c>
      <c r="G639" t="s">
        <v>151</v>
      </c>
    </row>
    <row r="640" spans="1:8" x14ac:dyDescent="0.35">
      <c r="A640" s="10" t="s">
        <v>136</v>
      </c>
      <c r="B640" s="35">
        <f>imports2!L17</f>
        <v>7.8769276726965903E-2</v>
      </c>
      <c r="C640" t="s">
        <v>169</v>
      </c>
      <c r="D640" t="s">
        <v>119</v>
      </c>
      <c r="F640" t="s">
        <v>134</v>
      </c>
      <c r="G640" t="s">
        <v>151</v>
      </c>
      <c r="H640" t="s">
        <v>200</v>
      </c>
    </row>
    <row r="641" spans="1:8" x14ac:dyDescent="0.35">
      <c r="A641" s="35" t="str">
        <f>A632</f>
        <v xml:space="preserve">market for electricity, high voltage GB M1 </v>
      </c>
      <c r="B641" s="35">
        <f>imports2!M17*1.5</f>
        <v>1.2432875805039075E-2</v>
      </c>
      <c r="C641" t="s">
        <v>169</v>
      </c>
      <c r="D641" t="s">
        <v>119</v>
      </c>
      <c r="F641" t="s">
        <v>134</v>
      </c>
      <c r="G641" t="s">
        <v>151</v>
      </c>
    </row>
    <row r="642" spans="1:8" x14ac:dyDescent="0.35">
      <c r="A642" t="s">
        <v>122</v>
      </c>
      <c r="B642" s="35">
        <f>imports2!H18</f>
        <v>9.6093041262761917E-3</v>
      </c>
      <c r="C642" t="s">
        <v>169</v>
      </c>
      <c r="D642" t="s">
        <v>119</v>
      </c>
      <c r="F642" t="s">
        <v>134</v>
      </c>
      <c r="G642" t="s">
        <v>152</v>
      </c>
    </row>
    <row r="643" spans="1:8" x14ac:dyDescent="0.35">
      <c r="A643" t="s">
        <v>121</v>
      </c>
      <c r="B643" s="35">
        <f>imports2!H19</f>
        <v>1.1986863908132712E-2</v>
      </c>
      <c r="C643" t="s">
        <v>169</v>
      </c>
      <c r="D643" t="s">
        <v>119</v>
      </c>
      <c r="F643" t="s">
        <v>134</v>
      </c>
      <c r="G643" t="s">
        <v>152</v>
      </c>
    </row>
    <row r="644" spans="1:8" x14ac:dyDescent="0.35">
      <c r="A644" t="s">
        <v>133</v>
      </c>
      <c r="B644" s="35">
        <f>imports2!H20</f>
        <v>4.1921001991008532E-2</v>
      </c>
      <c r="C644" t="s">
        <v>169</v>
      </c>
      <c r="D644" t="s">
        <v>119</v>
      </c>
      <c r="F644" t="s">
        <v>134</v>
      </c>
      <c r="G644" t="s">
        <v>152</v>
      </c>
    </row>
    <row r="645" spans="1:8" x14ac:dyDescent="0.35">
      <c r="A645" t="s">
        <v>125</v>
      </c>
      <c r="B645" s="35">
        <f>imports2!R22</f>
        <v>2.1670778390046501E-9</v>
      </c>
      <c r="C645" t="s">
        <v>127</v>
      </c>
      <c r="D645" t="s">
        <v>138</v>
      </c>
      <c r="F645" t="s">
        <v>134</v>
      </c>
      <c r="G645" t="s">
        <v>101</v>
      </c>
    </row>
    <row r="646" spans="1:8" x14ac:dyDescent="0.35">
      <c r="A646" t="s">
        <v>124</v>
      </c>
      <c r="B646" s="35">
        <f>imports2!R23</f>
        <v>1.4192813639264101E-10</v>
      </c>
      <c r="C646" t="s">
        <v>127</v>
      </c>
      <c r="D646" t="s">
        <v>138</v>
      </c>
      <c r="F646" t="s">
        <v>134</v>
      </c>
      <c r="G646" t="s">
        <v>102</v>
      </c>
    </row>
    <row r="647" spans="1:8" x14ac:dyDescent="0.35">
      <c r="A647" t="s">
        <v>157</v>
      </c>
      <c r="B647" s="35">
        <f>imports2!R24</f>
        <v>2.6965250167450102E-10</v>
      </c>
      <c r="C647" t="s">
        <v>127</v>
      </c>
      <c r="D647" t="s">
        <v>138</v>
      </c>
      <c r="F647" t="s">
        <v>134</v>
      </c>
      <c r="G647" t="s">
        <v>103</v>
      </c>
    </row>
    <row r="649" spans="1:8" x14ac:dyDescent="0.35">
      <c r="A649" s="36" t="s">
        <v>19</v>
      </c>
      <c r="B649" s="35" t="s">
        <v>292</v>
      </c>
    </row>
    <row r="650" spans="1:8" x14ac:dyDescent="0.35">
      <c r="A650" t="s">
        <v>20</v>
      </c>
      <c r="B650" s="35">
        <v>1</v>
      </c>
    </row>
    <row r="651" spans="1:8" x14ac:dyDescent="0.35">
      <c r="A651" t="s">
        <v>21</v>
      </c>
      <c r="B651" s="35" t="s">
        <v>120</v>
      </c>
    </row>
    <row r="652" spans="1:8" x14ac:dyDescent="0.35">
      <c r="A652" t="s">
        <v>22</v>
      </c>
      <c r="B652" s="35" t="s">
        <v>151</v>
      </c>
    </row>
    <row r="653" spans="1:8" x14ac:dyDescent="0.35">
      <c r="A653" t="s">
        <v>23</v>
      </c>
      <c r="B653" s="35" t="s">
        <v>168</v>
      </c>
    </row>
    <row r="654" spans="1:8" x14ac:dyDescent="0.35">
      <c r="A654" t="s">
        <v>24</v>
      </c>
      <c r="B654" s="35" t="s">
        <v>119</v>
      </c>
    </row>
    <row r="655" spans="1:8" x14ac:dyDescent="0.35">
      <c r="A655" t="s">
        <v>25</v>
      </c>
      <c r="H655" t="s">
        <v>21</v>
      </c>
    </row>
    <row r="656" spans="1:8" x14ac:dyDescent="0.35">
      <c r="A656" t="s">
        <v>26</v>
      </c>
      <c r="B656" s="35" t="s">
        <v>27</v>
      </c>
      <c r="C656" t="s">
        <v>23</v>
      </c>
      <c r="D656" t="s">
        <v>24</v>
      </c>
      <c r="E656" t="s">
        <v>28</v>
      </c>
      <c r="F656" t="s">
        <v>29</v>
      </c>
      <c r="G656" t="s">
        <v>22</v>
      </c>
      <c r="H656" s="35" t="str">
        <f>B506</f>
        <v>RTE scenarios adapted from Ecoinvent - no background data altered</v>
      </c>
    </row>
    <row r="657" spans="1:8" x14ac:dyDescent="0.35">
      <c r="A657" s="35" t="str">
        <f>B649</f>
        <v xml:space="preserve">market for electricity, high voltage IT M1 </v>
      </c>
      <c r="B657" s="35">
        <v>1</v>
      </c>
      <c r="C657" t="s">
        <v>168</v>
      </c>
      <c r="D657" t="s">
        <v>119</v>
      </c>
      <c r="F657" t="s">
        <v>174</v>
      </c>
      <c r="G657" t="s">
        <v>151</v>
      </c>
      <c r="H657" t="s">
        <v>201</v>
      </c>
    </row>
    <row r="658" spans="1:8" x14ac:dyDescent="0.35">
      <c r="A658" s="35" t="str">
        <f>B649</f>
        <v xml:space="preserve">market for electricity, high voltage IT M1 </v>
      </c>
      <c r="B658" s="35">
        <v>2.3357870144476399E-2</v>
      </c>
      <c r="C658" t="s">
        <v>168</v>
      </c>
      <c r="D658" t="s">
        <v>119</v>
      </c>
      <c r="F658" t="s">
        <v>134</v>
      </c>
      <c r="G658" t="s">
        <v>151</v>
      </c>
    </row>
    <row r="659" spans="1:8" x14ac:dyDescent="0.35">
      <c r="A659" t="s">
        <v>92</v>
      </c>
      <c r="B659" s="35">
        <f>imports2!K29</f>
        <v>1.7085942625630911E-2</v>
      </c>
      <c r="C659" t="s">
        <v>168</v>
      </c>
      <c r="D659" t="s">
        <v>119</v>
      </c>
      <c r="F659" t="s">
        <v>134</v>
      </c>
      <c r="G659" t="s">
        <v>151</v>
      </c>
    </row>
    <row r="660" spans="1:8" x14ac:dyDescent="0.35">
      <c r="A660" t="s">
        <v>91</v>
      </c>
      <c r="B660" s="35">
        <f>imports2!K30</f>
        <v>3.0376022688869929E-2</v>
      </c>
      <c r="C660" t="s">
        <v>168</v>
      </c>
      <c r="D660" t="s">
        <v>119</v>
      </c>
      <c r="F660" t="s">
        <v>134</v>
      </c>
      <c r="G660" t="s">
        <v>151</v>
      </c>
    </row>
    <row r="661" spans="1:8" x14ac:dyDescent="0.35">
      <c r="A661" t="s">
        <v>97</v>
      </c>
      <c r="B661" s="35">
        <f>imports2!I31</f>
        <v>4.911004801215172E-2</v>
      </c>
      <c r="C661" t="s">
        <v>168</v>
      </c>
      <c r="D661" t="s">
        <v>119</v>
      </c>
      <c r="F661" t="s">
        <v>134</v>
      </c>
      <c r="G661" t="s">
        <v>151</v>
      </c>
    </row>
    <row r="662" spans="1:8" x14ac:dyDescent="0.35">
      <c r="A662" s="9" t="s">
        <v>131</v>
      </c>
      <c r="B662" s="35">
        <f>imports2!I30</f>
        <v>2.1734444785016883E-2</v>
      </c>
      <c r="C662" t="s">
        <v>168</v>
      </c>
      <c r="D662" t="s">
        <v>119</v>
      </c>
      <c r="F662" t="s">
        <v>134</v>
      </c>
      <c r="G662" t="s">
        <v>151</v>
      </c>
    </row>
    <row r="663" spans="1:8" x14ac:dyDescent="0.35">
      <c r="A663" t="s">
        <v>123</v>
      </c>
      <c r="B663" s="35">
        <f>imports2!I29</f>
        <v>6.6363535802902293E-3</v>
      </c>
      <c r="C663" t="s">
        <v>168</v>
      </c>
      <c r="D663" t="s">
        <v>119</v>
      </c>
      <c r="F663" t="s">
        <v>134</v>
      </c>
      <c r="G663" t="s">
        <v>151</v>
      </c>
      <c r="H663" t="s">
        <v>223</v>
      </c>
    </row>
    <row r="664" spans="1:8" x14ac:dyDescent="0.35">
      <c r="A664" t="s">
        <v>96</v>
      </c>
      <c r="B664" s="35">
        <f>imports2!J28</f>
        <v>4.0763714178789885E-2</v>
      </c>
      <c r="C664" t="s">
        <v>171</v>
      </c>
      <c r="D664" t="s">
        <v>119</v>
      </c>
      <c r="F664" t="s">
        <v>134</v>
      </c>
      <c r="G664" t="s">
        <v>151</v>
      </c>
    </row>
    <row r="665" spans="1:8" x14ac:dyDescent="0.35">
      <c r="A665" s="10" t="s">
        <v>136</v>
      </c>
      <c r="B665" s="35">
        <f>imports2!L28</f>
        <v>5.390249870409735E-2</v>
      </c>
      <c r="C665" t="s">
        <v>168</v>
      </c>
      <c r="D665" t="s">
        <v>119</v>
      </c>
      <c r="F665" t="s">
        <v>134</v>
      </c>
      <c r="G665" t="s">
        <v>151</v>
      </c>
      <c r="H665" t="s">
        <v>198</v>
      </c>
    </row>
    <row r="666" spans="1:8" x14ac:dyDescent="0.35">
      <c r="A666" s="35" t="s">
        <v>329</v>
      </c>
      <c r="B666" s="35">
        <f>imports2!N28*imports2!Y27</f>
        <v>1.4820330291191916E-2</v>
      </c>
      <c r="C666" t="s">
        <v>31</v>
      </c>
      <c r="D666" t="s">
        <v>119</v>
      </c>
      <c r="F666" t="s">
        <v>134</v>
      </c>
      <c r="G666" t="s">
        <v>151</v>
      </c>
      <c r="H666" t="s">
        <v>200</v>
      </c>
    </row>
    <row r="667" spans="1:8" x14ac:dyDescent="0.35">
      <c r="A667" s="35" t="s">
        <v>156</v>
      </c>
      <c r="B667" s="35">
        <f>imports2!N28*imports2!Y28</f>
        <v>2.1576405759772908E-2</v>
      </c>
      <c r="C667" t="s">
        <v>130</v>
      </c>
      <c r="D667" t="s">
        <v>119</v>
      </c>
      <c r="F667" t="s">
        <v>134</v>
      </c>
      <c r="G667" t="s">
        <v>151</v>
      </c>
    </row>
    <row r="668" spans="1:8" x14ac:dyDescent="0.35">
      <c r="A668" s="35" t="s">
        <v>156</v>
      </c>
      <c r="B668" s="35">
        <f>imports2!$N$28*imports2!Y26</f>
        <v>3.6185874731225807E-5</v>
      </c>
      <c r="C668" t="s">
        <v>252</v>
      </c>
      <c r="D668" t="s">
        <v>119</v>
      </c>
      <c r="F668" t="s">
        <v>134</v>
      </c>
      <c r="G668" t="s">
        <v>151</v>
      </c>
    </row>
    <row r="669" spans="1:8" x14ac:dyDescent="0.35">
      <c r="A669" s="35" t="s">
        <v>156</v>
      </c>
      <c r="B669" s="35">
        <f>imports2!$N$28*imports2!Y29</f>
        <v>1.8967884634918721E-5</v>
      </c>
      <c r="C669" t="s">
        <v>253</v>
      </c>
      <c r="D669" t="s">
        <v>119</v>
      </c>
      <c r="F669" t="s">
        <v>134</v>
      </c>
      <c r="G669" t="s">
        <v>151</v>
      </c>
    </row>
    <row r="670" spans="1:8" x14ac:dyDescent="0.35">
      <c r="A670" s="35" t="s">
        <v>156</v>
      </c>
      <c r="B670" s="35">
        <f>imports2!$N$28*imports2!Y30</f>
        <v>1.1946559180011354E-3</v>
      </c>
      <c r="C670" t="s">
        <v>250</v>
      </c>
      <c r="D670" t="s">
        <v>119</v>
      </c>
      <c r="F670" t="s">
        <v>134</v>
      </c>
      <c r="G670" t="s">
        <v>151</v>
      </c>
    </row>
    <row r="671" spans="1:8" x14ac:dyDescent="0.35">
      <c r="A671" s="35" t="s">
        <v>156</v>
      </c>
      <c r="B671" s="35">
        <f>imports2!$N$28*imports2!Y31</f>
        <v>5.0490465410198034E-3</v>
      </c>
      <c r="C671" t="s">
        <v>254</v>
      </c>
      <c r="D671" t="s">
        <v>119</v>
      </c>
      <c r="F671" t="s">
        <v>134</v>
      </c>
      <c r="G671" t="s">
        <v>151</v>
      </c>
    </row>
    <row r="672" spans="1:8" x14ac:dyDescent="0.35">
      <c r="A672" s="35" t="s">
        <v>156</v>
      </c>
      <c r="B672" s="35">
        <f>imports2!$N$28*imports2!Y32</f>
        <v>5.5245142747605271E-5</v>
      </c>
      <c r="C672" t="s">
        <v>255</v>
      </c>
      <c r="D672" t="s">
        <v>119</v>
      </c>
      <c r="F672" t="s">
        <v>134</v>
      </c>
      <c r="G672" t="s">
        <v>151</v>
      </c>
      <c r="H672" t="s">
        <v>200</v>
      </c>
    </row>
    <row r="673" spans="1:8" x14ac:dyDescent="0.35">
      <c r="A673" s="35" t="str">
        <f>A658</f>
        <v xml:space="preserve">market for electricity, high voltage IT M1 </v>
      </c>
      <c r="B673" s="35">
        <f>imports2!M28*1.5</f>
        <v>7.4210092933762087E-2</v>
      </c>
      <c r="C673" t="s">
        <v>168</v>
      </c>
      <c r="D673" t="s">
        <v>119</v>
      </c>
      <c r="F673" t="s">
        <v>134</v>
      </c>
      <c r="G673" t="s">
        <v>151</v>
      </c>
    </row>
    <row r="674" spans="1:8" x14ac:dyDescent="0.35">
      <c r="A674" t="s">
        <v>122</v>
      </c>
      <c r="B674" s="35">
        <f>imports2!H29</f>
        <v>5.9591618739746291E-2</v>
      </c>
      <c r="C674" t="s">
        <v>168</v>
      </c>
      <c r="D674" t="s">
        <v>119</v>
      </c>
      <c r="F674" t="s">
        <v>134</v>
      </c>
      <c r="G674" t="s">
        <v>152</v>
      </c>
    </row>
    <row r="675" spans="1:8" x14ac:dyDescent="0.35">
      <c r="A675" t="s">
        <v>121</v>
      </c>
      <c r="B675" s="35">
        <f>imports2!H30</f>
        <v>7.4214590977489642E-2</v>
      </c>
      <c r="C675" t="s">
        <v>168</v>
      </c>
      <c r="D675" t="s">
        <v>119</v>
      </c>
      <c r="F675" t="s">
        <v>134</v>
      </c>
      <c r="G675" t="s">
        <v>152</v>
      </c>
    </row>
    <row r="676" spans="1:8" x14ac:dyDescent="0.35">
      <c r="A676" t="s">
        <v>133</v>
      </c>
      <c r="B676" s="35">
        <f>imports2!H31</f>
        <v>0.23034188291046737</v>
      </c>
      <c r="C676" t="s">
        <v>168</v>
      </c>
      <c r="D676" t="s">
        <v>119</v>
      </c>
      <c r="F676" t="s">
        <v>134</v>
      </c>
      <c r="G676" t="s">
        <v>152</v>
      </c>
    </row>
    <row r="677" spans="1:8" x14ac:dyDescent="0.35">
      <c r="A677" t="s">
        <v>125</v>
      </c>
      <c r="B677" s="35">
        <f>imports2!R33</f>
        <v>6.6544044844740601E-9</v>
      </c>
      <c r="C677" t="s">
        <v>127</v>
      </c>
      <c r="D677" t="s">
        <v>138</v>
      </c>
      <c r="F677" t="s">
        <v>134</v>
      </c>
      <c r="G677" t="s">
        <v>101</v>
      </c>
    </row>
    <row r="678" spans="1:8" x14ac:dyDescent="0.35">
      <c r="A678" t="s">
        <v>124</v>
      </c>
      <c r="B678" s="35">
        <f>imports2!R34</f>
        <v>1.9648610168655699E-10</v>
      </c>
      <c r="C678" t="s">
        <v>127</v>
      </c>
      <c r="D678" t="s">
        <v>138</v>
      </c>
      <c r="F678" t="s">
        <v>134</v>
      </c>
      <c r="G678" t="s">
        <v>102</v>
      </c>
    </row>
    <row r="679" spans="1:8" x14ac:dyDescent="0.35">
      <c r="A679" t="s">
        <v>157</v>
      </c>
      <c r="B679" s="35">
        <f>imports2!R35</f>
        <v>1.6557078487408601E-10</v>
      </c>
      <c r="C679" t="s">
        <v>127</v>
      </c>
      <c r="D679" t="s">
        <v>138</v>
      </c>
      <c r="F679" t="s">
        <v>134</v>
      </c>
      <c r="G679" t="s">
        <v>103</v>
      </c>
    </row>
    <row r="681" spans="1:8" x14ac:dyDescent="0.35">
      <c r="A681" s="36" t="s">
        <v>19</v>
      </c>
      <c r="B681" s="35" t="s">
        <v>296</v>
      </c>
    </row>
    <row r="682" spans="1:8" x14ac:dyDescent="0.35">
      <c r="A682" t="s">
        <v>20</v>
      </c>
      <c r="B682" s="35">
        <v>1</v>
      </c>
    </row>
    <row r="683" spans="1:8" x14ac:dyDescent="0.35">
      <c r="A683" t="s">
        <v>21</v>
      </c>
      <c r="B683" s="35" t="s">
        <v>120</v>
      </c>
    </row>
    <row r="684" spans="1:8" x14ac:dyDescent="0.35">
      <c r="A684" t="s">
        <v>22</v>
      </c>
      <c r="B684" s="35" t="s">
        <v>151</v>
      </c>
    </row>
    <row r="685" spans="1:8" x14ac:dyDescent="0.35">
      <c r="A685" t="s">
        <v>23</v>
      </c>
      <c r="B685" s="35" t="s">
        <v>171</v>
      </c>
    </row>
    <row r="686" spans="1:8" x14ac:dyDescent="0.35">
      <c r="A686" t="s">
        <v>24</v>
      </c>
      <c r="B686" s="35" t="s">
        <v>119</v>
      </c>
    </row>
    <row r="687" spans="1:8" x14ac:dyDescent="0.35">
      <c r="A687" t="s">
        <v>25</v>
      </c>
      <c r="H687" t="s">
        <v>21</v>
      </c>
    </row>
    <row r="688" spans="1:8" x14ac:dyDescent="0.35">
      <c r="A688" t="s">
        <v>26</v>
      </c>
      <c r="B688" s="35" t="s">
        <v>27</v>
      </c>
      <c r="C688" t="s">
        <v>23</v>
      </c>
      <c r="D688" t="s">
        <v>24</v>
      </c>
      <c r="E688" t="s">
        <v>28</v>
      </c>
      <c r="F688" t="s">
        <v>29</v>
      </c>
      <c r="G688" t="s">
        <v>22</v>
      </c>
      <c r="H688" s="35" t="str">
        <f>B538</f>
        <v>RTE scenarios adapted from Ecoinvent - no background data altered</v>
      </c>
    </row>
    <row r="689" spans="1:8" x14ac:dyDescent="0.35">
      <c r="A689" s="35" t="str">
        <f>B681</f>
        <v xml:space="preserve">market for electricity, high voltage ES M1 </v>
      </c>
      <c r="B689" s="35">
        <v>1</v>
      </c>
      <c r="C689" t="s">
        <v>171</v>
      </c>
      <c r="D689" t="s">
        <v>119</v>
      </c>
      <c r="F689" t="s">
        <v>174</v>
      </c>
      <c r="G689" t="s">
        <v>151</v>
      </c>
      <c r="H689" t="s">
        <v>201</v>
      </c>
    </row>
    <row r="690" spans="1:8" x14ac:dyDescent="0.35">
      <c r="A690" s="35" t="str">
        <f>B681</f>
        <v xml:space="preserve">market for electricity, high voltage ES M1 </v>
      </c>
      <c r="B690" s="35">
        <v>3.7364253070203898E-2</v>
      </c>
      <c r="C690" t="s">
        <v>171</v>
      </c>
      <c r="D690" t="s">
        <v>119</v>
      </c>
      <c r="F690" t="s">
        <v>134</v>
      </c>
      <c r="G690" t="s">
        <v>151</v>
      </c>
    </row>
    <row r="691" spans="1:8" x14ac:dyDescent="0.35">
      <c r="A691" t="s">
        <v>92</v>
      </c>
      <c r="B691" s="35">
        <f>imports2!K40</f>
        <v>2.3717975097580838E-2</v>
      </c>
      <c r="C691" t="s">
        <v>171</v>
      </c>
      <c r="D691" t="s">
        <v>119</v>
      </c>
      <c r="F691" t="s">
        <v>134</v>
      </c>
      <c r="G691" t="s">
        <v>151</v>
      </c>
    </row>
    <row r="692" spans="1:8" x14ac:dyDescent="0.35">
      <c r="A692" t="s">
        <v>195</v>
      </c>
      <c r="B692" s="35">
        <f>imports2!K41</f>
        <v>1.2218119891210072E-2</v>
      </c>
      <c r="C692" t="s">
        <v>171</v>
      </c>
      <c r="D692" t="s">
        <v>119</v>
      </c>
      <c r="F692" t="s">
        <v>134</v>
      </c>
      <c r="G692" t="s">
        <v>151</v>
      </c>
    </row>
    <row r="693" spans="1:8" x14ac:dyDescent="0.35">
      <c r="A693" t="s">
        <v>97</v>
      </c>
      <c r="B693" s="35">
        <f>imports2!I40</f>
        <v>0.11161447551055156</v>
      </c>
      <c r="C693" t="s">
        <v>171</v>
      </c>
      <c r="D693" t="s">
        <v>119</v>
      </c>
      <c r="F693" t="s">
        <v>134</v>
      </c>
      <c r="G693" t="s">
        <v>151</v>
      </c>
    </row>
    <row r="694" spans="1:8" x14ac:dyDescent="0.35">
      <c r="A694" s="9" t="s">
        <v>131</v>
      </c>
      <c r="B694" s="35">
        <f>imports2!I42</f>
        <v>6.1438480972824956E-2</v>
      </c>
      <c r="C694" t="s">
        <v>171</v>
      </c>
      <c r="D694" t="s">
        <v>119</v>
      </c>
      <c r="F694" t="s">
        <v>134</v>
      </c>
      <c r="G694" t="s">
        <v>151</v>
      </c>
    </row>
    <row r="695" spans="1:8" x14ac:dyDescent="0.35">
      <c r="A695" t="s">
        <v>123</v>
      </c>
      <c r="B695" s="35">
        <f>imports2!I41</f>
        <v>2.9638127672880423E-4</v>
      </c>
      <c r="C695" t="s">
        <v>171</v>
      </c>
      <c r="D695" t="s">
        <v>119</v>
      </c>
      <c r="F695" t="s">
        <v>134</v>
      </c>
      <c r="G695" t="s">
        <v>151</v>
      </c>
    </row>
    <row r="696" spans="1:8" x14ac:dyDescent="0.35">
      <c r="A696" t="s">
        <v>96</v>
      </c>
      <c r="B696" s="35">
        <f>imports2!J39</f>
        <v>2.8120899537284662E-2</v>
      </c>
      <c r="C696" t="s">
        <v>171</v>
      </c>
      <c r="D696" t="s">
        <v>119</v>
      </c>
      <c r="F696" t="s">
        <v>134</v>
      </c>
      <c r="G696" t="s">
        <v>151</v>
      </c>
    </row>
    <row r="697" spans="1:8" x14ac:dyDescent="0.35">
      <c r="A697" s="10" t="s">
        <v>136</v>
      </c>
      <c r="B697" s="35">
        <f>imports2!L39</f>
        <v>1.9025342775696247E-2</v>
      </c>
      <c r="C697" t="s">
        <v>171</v>
      </c>
      <c r="D697" t="s">
        <v>119</v>
      </c>
      <c r="F697" t="s">
        <v>134</v>
      </c>
      <c r="G697" t="s">
        <v>151</v>
      </c>
      <c r="H697" t="s">
        <v>200</v>
      </c>
    </row>
    <row r="698" spans="1:8" x14ac:dyDescent="0.35">
      <c r="A698" s="35" t="str">
        <f>A690</f>
        <v xml:space="preserve">market for electricity, high voltage ES M1 </v>
      </c>
      <c r="B698" s="35">
        <f>imports2!M39*1.5</f>
        <v>6.9723253449038916E-2</v>
      </c>
      <c r="C698" t="s">
        <v>171</v>
      </c>
      <c r="D698" t="s">
        <v>119</v>
      </c>
      <c r="F698" t="s">
        <v>134</v>
      </c>
      <c r="G698" t="s">
        <v>151</v>
      </c>
    </row>
    <row r="699" spans="1:8" x14ac:dyDescent="0.35">
      <c r="A699" t="s">
        <v>122</v>
      </c>
      <c r="B699" s="35">
        <f>imports2!H40</f>
        <v>6.4011201986494251E-2</v>
      </c>
      <c r="C699" t="s">
        <v>171</v>
      </c>
      <c r="D699" t="s">
        <v>119</v>
      </c>
      <c r="F699" t="s">
        <v>134</v>
      </c>
      <c r="G699" t="s">
        <v>152</v>
      </c>
    </row>
    <row r="700" spans="1:8" x14ac:dyDescent="0.35">
      <c r="A700" t="s">
        <v>121</v>
      </c>
      <c r="B700" s="35">
        <f>imports2!H41</f>
        <v>7.974407572717343E-2</v>
      </c>
      <c r="C700" t="s">
        <v>171</v>
      </c>
      <c r="D700" t="s">
        <v>119</v>
      </c>
      <c r="F700" t="s">
        <v>134</v>
      </c>
      <c r="G700" t="s">
        <v>152</v>
      </c>
    </row>
    <row r="701" spans="1:8" x14ac:dyDescent="0.35">
      <c r="A701" t="s">
        <v>133</v>
      </c>
      <c r="B701" s="35">
        <f>imports2!H42</f>
        <v>9.6772597848279851E-2</v>
      </c>
      <c r="C701" t="s">
        <v>171</v>
      </c>
      <c r="D701" t="s">
        <v>119</v>
      </c>
      <c r="F701" t="s">
        <v>134</v>
      </c>
      <c r="G701" t="s">
        <v>152</v>
      </c>
    </row>
    <row r="702" spans="1:8" x14ac:dyDescent="0.35">
      <c r="A702" t="s">
        <v>125</v>
      </c>
      <c r="B702" s="35">
        <f>imports2!R45</f>
        <v>4.94760991840923E-9</v>
      </c>
      <c r="C702" t="s">
        <v>127</v>
      </c>
      <c r="D702" t="s">
        <v>138</v>
      </c>
      <c r="F702" t="s">
        <v>134</v>
      </c>
      <c r="G702" t="s">
        <v>101</v>
      </c>
    </row>
    <row r="703" spans="1:8" x14ac:dyDescent="0.35">
      <c r="A703" t="s">
        <v>124</v>
      </c>
      <c r="B703" s="35">
        <f>imports2!R46</f>
        <v>1.2961596435765799E-10</v>
      </c>
      <c r="C703" t="s">
        <v>127</v>
      </c>
      <c r="D703" t="s">
        <v>138</v>
      </c>
      <c r="F703" t="s">
        <v>134</v>
      </c>
      <c r="G703" t="s">
        <v>102</v>
      </c>
    </row>
    <row r="704" spans="1:8" x14ac:dyDescent="0.35">
      <c r="A704" t="s">
        <v>157</v>
      </c>
      <c r="B704" s="35">
        <f>imports2!R47</f>
        <v>1.0194905896113601E-10</v>
      </c>
      <c r="C704" t="s">
        <v>127</v>
      </c>
      <c r="D704" t="s">
        <v>138</v>
      </c>
      <c r="F704" t="s">
        <v>134</v>
      </c>
      <c r="G704" t="s">
        <v>103</v>
      </c>
    </row>
    <row r="706" spans="1:8" x14ac:dyDescent="0.35">
      <c r="A706" s="36" t="s">
        <v>19</v>
      </c>
      <c r="B706" s="35" t="s">
        <v>295</v>
      </c>
    </row>
    <row r="707" spans="1:8" x14ac:dyDescent="0.35">
      <c r="A707" t="s">
        <v>20</v>
      </c>
      <c r="B707" s="35">
        <v>1</v>
      </c>
    </row>
    <row r="708" spans="1:8" x14ac:dyDescent="0.35">
      <c r="A708" t="s">
        <v>21</v>
      </c>
      <c r="B708" s="35" t="s">
        <v>120</v>
      </c>
    </row>
    <row r="709" spans="1:8" x14ac:dyDescent="0.35">
      <c r="A709" t="s">
        <v>22</v>
      </c>
      <c r="B709" s="35" t="s">
        <v>151</v>
      </c>
    </row>
    <row r="710" spans="1:8" x14ac:dyDescent="0.35">
      <c r="A710" t="s">
        <v>23</v>
      </c>
      <c r="B710" s="35" t="s">
        <v>12</v>
      </c>
    </row>
    <row r="711" spans="1:8" x14ac:dyDescent="0.35">
      <c r="A711" t="s">
        <v>24</v>
      </c>
      <c r="B711" s="35" t="s">
        <v>119</v>
      </c>
    </row>
    <row r="712" spans="1:8" x14ac:dyDescent="0.35">
      <c r="A712" t="s">
        <v>25</v>
      </c>
      <c r="H712" t="s">
        <v>21</v>
      </c>
    </row>
    <row r="713" spans="1:8" x14ac:dyDescent="0.35">
      <c r="A713" t="s">
        <v>26</v>
      </c>
      <c r="B713" s="35" t="s">
        <v>27</v>
      </c>
      <c r="C713" t="s">
        <v>23</v>
      </c>
      <c r="D713" t="s">
        <v>24</v>
      </c>
      <c r="E713" t="s">
        <v>28</v>
      </c>
      <c r="F713" t="s">
        <v>29</v>
      </c>
      <c r="G713" t="s">
        <v>22</v>
      </c>
      <c r="H713" s="35" t="str">
        <f>B564</f>
        <v>RTE scenarios adapted from Ecoinvent - no background data altered</v>
      </c>
    </row>
    <row r="714" spans="1:8" x14ac:dyDescent="0.35">
      <c r="A714" s="35" t="str">
        <f>B706</f>
        <v xml:space="preserve">market for electricity, high voltage BE M1 </v>
      </c>
      <c r="B714" s="35">
        <v>1</v>
      </c>
      <c r="C714" t="s">
        <v>12</v>
      </c>
      <c r="D714" t="s">
        <v>119</v>
      </c>
      <c r="F714" t="s">
        <v>174</v>
      </c>
      <c r="G714" t="s">
        <v>151</v>
      </c>
      <c r="H714" t="s">
        <v>230</v>
      </c>
    </row>
    <row r="715" spans="1:8" x14ac:dyDescent="0.35">
      <c r="A715" s="35" t="str">
        <f>B706</f>
        <v xml:space="preserve">market for electricity, high voltage BE M1 </v>
      </c>
      <c r="B715" s="35">
        <f>imports2!F71+imports2!G49</f>
        <v>0.22922391263786926</v>
      </c>
      <c r="C715" t="s">
        <v>12</v>
      </c>
      <c r="D715" t="s">
        <v>119</v>
      </c>
      <c r="F715" t="s">
        <v>134</v>
      </c>
      <c r="G715" t="s">
        <v>151</v>
      </c>
    </row>
    <row r="716" spans="1:8" x14ac:dyDescent="0.35">
      <c r="A716" t="s">
        <v>90</v>
      </c>
      <c r="B716" s="35">
        <f>imports2!G50</f>
        <v>9.1908439025275221E-3</v>
      </c>
      <c r="C716" t="s">
        <v>12</v>
      </c>
      <c r="D716" t="s">
        <v>119</v>
      </c>
      <c r="F716" t="s">
        <v>134</v>
      </c>
      <c r="G716" t="s">
        <v>151</v>
      </c>
    </row>
    <row r="717" spans="1:8" x14ac:dyDescent="0.35">
      <c r="A717" t="s">
        <v>92</v>
      </c>
      <c r="B717" s="35">
        <f>imports2!G53</f>
        <v>3.1570005215688281E-3</v>
      </c>
      <c r="C717" t="s">
        <v>12</v>
      </c>
      <c r="D717" t="s">
        <v>119</v>
      </c>
      <c r="F717" t="s">
        <v>134</v>
      </c>
      <c r="G717" t="s">
        <v>151</v>
      </c>
    </row>
    <row r="718" spans="1:8" x14ac:dyDescent="0.35">
      <c r="A718" t="s">
        <v>96</v>
      </c>
      <c r="B718" s="35">
        <f>imports2!G54</f>
        <v>4.009085504727028E-2</v>
      </c>
      <c r="C718" t="s">
        <v>12</v>
      </c>
      <c r="D718" t="s">
        <v>119</v>
      </c>
      <c r="F718" t="s">
        <v>134</v>
      </c>
      <c r="G718" t="s">
        <v>151</v>
      </c>
    </row>
    <row r="719" spans="1:8" x14ac:dyDescent="0.35">
      <c r="A719" t="s">
        <v>132</v>
      </c>
      <c r="B719" s="35">
        <f>imports2!G56</f>
        <v>0.43200142560211408</v>
      </c>
      <c r="C719" t="s">
        <v>12</v>
      </c>
      <c r="D719" t="s">
        <v>119</v>
      </c>
      <c r="F719" t="s">
        <v>134</v>
      </c>
      <c r="G719" t="s">
        <v>151</v>
      </c>
    </row>
    <row r="720" spans="1:8" x14ac:dyDescent="0.35">
      <c r="A720" t="s">
        <v>123</v>
      </c>
      <c r="B720" s="35">
        <f>imports2!G58</f>
        <v>6.2704498274183266E-3</v>
      </c>
      <c r="C720" t="s">
        <v>12</v>
      </c>
      <c r="D720" t="s">
        <v>119</v>
      </c>
      <c r="F720" t="s">
        <v>134</v>
      </c>
      <c r="G720" t="s">
        <v>151</v>
      </c>
    </row>
    <row r="721" spans="1:8" x14ac:dyDescent="0.35">
      <c r="A721" t="s">
        <v>218</v>
      </c>
      <c r="B721" s="35">
        <f>imports2!G63</f>
        <v>2.2117724493565531E-2</v>
      </c>
      <c r="C721" t="s">
        <v>12</v>
      </c>
      <c r="D721" t="s">
        <v>119</v>
      </c>
      <c r="F721" t="s">
        <v>134</v>
      </c>
      <c r="G721" t="s">
        <v>151</v>
      </c>
    </row>
    <row r="722" spans="1:8" x14ac:dyDescent="0.35">
      <c r="A722" t="s">
        <v>97</v>
      </c>
      <c r="B722" s="35">
        <f>imports2!G64</f>
        <v>5.3143174443699585E-2</v>
      </c>
      <c r="C722" t="s">
        <v>12</v>
      </c>
      <c r="D722" t="s">
        <v>119</v>
      </c>
      <c r="F722" t="s">
        <v>134</v>
      </c>
      <c r="G722" t="s">
        <v>151</v>
      </c>
    </row>
    <row r="723" spans="1:8" x14ac:dyDescent="0.35">
      <c r="A723" t="s">
        <v>196</v>
      </c>
      <c r="B723" s="35">
        <f>imports2!G65</f>
        <v>3.3712085572547611E-3</v>
      </c>
      <c r="C723" t="s">
        <v>12</v>
      </c>
      <c r="D723" t="s">
        <v>119</v>
      </c>
      <c r="F723" t="s">
        <v>134</v>
      </c>
      <c r="G723" t="s">
        <v>151</v>
      </c>
    </row>
    <row r="724" spans="1:8" x14ac:dyDescent="0.35">
      <c r="A724" t="s">
        <v>131</v>
      </c>
      <c r="B724" s="35">
        <f>imports2!G70</f>
        <v>1.5753243368237799E-3</v>
      </c>
      <c r="C724" t="s">
        <v>12</v>
      </c>
      <c r="D724" t="s">
        <v>119</v>
      </c>
      <c r="F724" t="s">
        <v>134</v>
      </c>
      <c r="G724" t="s">
        <v>151</v>
      </c>
    </row>
    <row r="725" spans="1:8" x14ac:dyDescent="0.35">
      <c r="A725" s="35" t="s">
        <v>293</v>
      </c>
      <c r="B725" s="35">
        <f>imports2!H69</f>
        <v>1.3346874905555593E-3</v>
      </c>
      <c r="C725" t="s">
        <v>169</v>
      </c>
      <c r="D725" t="s">
        <v>119</v>
      </c>
      <c r="F725" t="s">
        <v>134</v>
      </c>
      <c r="G725" t="s">
        <v>151</v>
      </c>
      <c r="H725" t="s">
        <v>198</v>
      </c>
    </row>
    <row r="726" spans="1:8" x14ac:dyDescent="0.35">
      <c r="A726" s="35" t="str">
        <f>B706</f>
        <v xml:space="preserve">market for electricity, high voltage BE M1 </v>
      </c>
      <c r="B726" s="35">
        <f>imports2!H68</f>
        <v>6.9830342662515907E-2</v>
      </c>
      <c r="C726" t="s">
        <v>31</v>
      </c>
      <c r="D726" t="s">
        <v>119</v>
      </c>
      <c r="F726" t="s">
        <v>134</v>
      </c>
      <c r="G726" t="s">
        <v>151</v>
      </c>
    </row>
    <row r="727" spans="1:8" x14ac:dyDescent="0.35">
      <c r="A727" t="s">
        <v>156</v>
      </c>
      <c r="B727" s="35">
        <f>imports2!H51</f>
        <v>8.5741000184423437E-4</v>
      </c>
      <c r="C727" t="s">
        <v>256</v>
      </c>
      <c r="D727" t="s">
        <v>119</v>
      </c>
      <c r="F727" t="s">
        <v>134</v>
      </c>
      <c r="G727" t="s">
        <v>151</v>
      </c>
    </row>
    <row r="728" spans="1:8" x14ac:dyDescent="0.35">
      <c r="A728" t="s">
        <v>156</v>
      </c>
      <c r="B728" s="35">
        <f>imports2!H67</f>
        <v>6.2443100823966341E-2</v>
      </c>
      <c r="C728" t="s">
        <v>247</v>
      </c>
      <c r="D728" t="s">
        <v>119</v>
      </c>
      <c r="F728" t="s">
        <v>134</v>
      </c>
      <c r="G728" t="s">
        <v>151</v>
      </c>
    </row>
    <row r="729" spans="1:8" x14ac:dyDescent="0.35">
      <c r="A729" s="9" t="s">
        <v>122</v>
      </c>
      <c r="B729" s="35">
        <f>imports2!H77</f>
        <v>2.0631916101271498E-2</v>
      </c>
      <c r="C729" t="s">
        <v>12</v>
      </c>
      <c r="D729" t="s">
        <v>119</v>
      </c>
      <c r="F729" t="s">
        <v>134</v>
      </c>
      <c r="G729" t="s">
        <v>152</v>
      </c>
    </row>
    <row r="730" spans="1:8" x14ac:dyDescent="0.35">
      <c r="A730" s="9" t="s">
        <v>121</v>
      </c>
      <c r="B730" s="35">
        <f>imports2!H78</f>
        <v>4.1263832202542997E-2</v>
      </c>
      <c r="C730" t="s">
        <v>12</v>
      </c>
      <c r="D730" t="s">
        <v>119</v>
      </c>
      <c r="F730" t="s">
        <v>134</v>
      </c>
      <c r="G730" t="s">
        <v>152</v>
      </c>
    </row>
    <row r="731" spans="1:8" x14ac:dyDescent="0.35">
      <c r="A731" t="s">
        <v>133</v>
      </c>
      <c r="B731" s="35">
        <f>imports2!H79</f>
        <v>2.0631916101271498E-2</v>
      </c>
      <c r="C731" t="s">
        <v>12</v>
      </c>
      <c r="D731" t="s">
        <v>119</v>
      </c>
      <c r="F731" t="s">
        <v>134</v>
      </c>
      <c r="G731" t="s">
        <v>152</v>
      </c>
    </row>
    <row r="732" spans="1:8" x14ac:dyDescent="0.35">
      <c r="A732" t="s">
        <v>125</v>
      </c>
      <c r="B732" s="35">
        <f>imports2!G74</f>
        <v>2.1426993590677398E-9</v>
      </c>
      <c r="C732" t="s">
        <v>127</v>
      </c>
      <c r="D732" t="s">
        <v>138</v>
      </c>
      <c r="F732" t="s">
        <v>134</v>
      </c>
      <c r="G732" t="s">
        <v>101</v>
      </c>
    </row>
    <row r="733" spans="1:8" x14ac:dyDescent="0.35">
      <c r="A733" t="s">
        <v>124</v>
      </c>
      <c r="B733" s="35">
        <f>imports2!G75</f>
        <v>1.16401360225082E-9</v>
      </c>
      <c r="C733" t="s">
        <v>127</v>
      </c>
      <c r="D733" t="s">
        <v>138</v>
      </c>
      <c r="F733" t="s">
        <v>134</v>
      </c>
      <c r="G733" t="s">
        <v>102</v>
      </c>
    </row>
    <row r="736" spans="1:8" x14ac:dyDescent="0.35">
      <c r="A736" s="36" t="s">
        <v>19</v>
      </c>
      <c r="B736" s="35" t="s">
        <v>300</v>
      </c>
    </row>
    <row r="737" spans="1:8" x14ac:dyDescent="0.35">
      <c r="A737" t="s">
        <v>20</v>
      </c>
      <c r="B737" s="35">
        <v>1</v>
      </c>
    </row>
    <row r="738" spans="1:8" x14ac:dyDescent="0.35">
      <c r="A738" t="s">
        <v>21</v>
      </c>
      <c r="B738" s="35" t="s">
        <v>120</v>
      </c>
    </row>
    <row r="739" spans="1:8" x14ac:dyDescent="0.35">
      <c r="A739" t="s">
        <v>22</v>
      </c>
      <c r="B739" s="35" t="s">
        <v>151</v>
      </c>
    </row>
    <row r="740" spans="1:8" x14ac:dyDescent="0.35">
      <c r="A740" t="s">
        <v>23</v>
      </c>
      <c r="B740" s="35" t="s">
        <v>170</v>
      </c>
    </row>
    <row r="741" spans="1:8" x14ac:dyDescent="0.35">
      <c r="A741" t="s">
        <v>24</v>
      </c>
      <c r="B741" s="35" t="s">
        <v>119</v>
      </c>
    </row>
    <row r="742" spans="1:8" x14ac:dyDescent="0.35">
      <c r="A742" t="s">
        <v>25</v>
      </c>
      <c r="H742" t="s">
        <v>21</v>
      </c>
    </row>
    <row r="743" spans="1:8" x14ac:dyDescent="0.35">
      <c r="A743" t="s">
        <v>26</v>
      </c>
      <c r="B743" s="35" t="s">
        <v>27</v>
      </c>
      <c r="C743" t="s">
        <v>23</v>
      </c>
      <c r="D743" t="s">
        <v>24</v>
      </c>
      <c r="E743" t="s">
        <v>28</v>
      </c>
      <c r="F743" t="s">
        <v>29</v>
      </c>
      <c r="G743" t="s">
        <v>22</v>
      </c>
      <c r="H743" s="35" t="str">
        <f>B448</f>
        <v>RTE scenarios adapted from Ecoinvent - no background data altered</v>
      </c>
    </row>
    <row r="744" spans="1:8" x14ac:dyDescent="0.35">
      <c r="A744" s="35" t="str">
        <f>B736</f>
        <v xml:space="preserve">market for electricity, high voltage DE M23 </v>
      </c>
      <c r="B744" s="35">
        <v>1</v>
      </c>
      <c r="C744" t="s">
        <v>170</v>
      </c>
      <c r="D744" t="s">
        <v>119</v>
      </c>
      <c r="F744" t="s">
        <v>174</v>
      </c>
      <c r="G744" t="s">
        <v>151</v>
      </c>
      <c r="H744" t="s">
        <v>201</v>
      </c>
    </row>
    <row r="745" spans="1:8" x14ac:dyDescent="0.35">
      <c r="A745" s="35" t="str">
        <f>B736</f>
        <v xml:space="preserve">market for electricity, high voltage DE M23 </v>
      </c>
      <c r="B745" s="35">
        <v>2.1779170075109801E-2</v>
      </c>
      <c r="C745" t="s">
        <v>170</v>
      </c>
      <c r="D745" t="s">
        <v>119</v>
      </c>
      <c r="F745" t="s">
        <v>134</v>
      </c>
      <c r="G745" t="s">
        <v>151</v>
      </c>
    </row>
    <row r="746" spans="1:8" x14ac:dyDescent="0.35">
      <c r="A746" t="s">
        <v>195</v>
      </c>
      <c r="B746" s="35">
        <f>imports2!K6</f>
        <v>1.659558553020022E-2</v>
      </c>
      <c r="C746" t="s">
        <v>170</v>
      </c>
      <c r="D746" t="s">
        <v>119</v>
      </c>
      <c r="F746" t="s">
        <v>134</v>
      </c>
      <c r="G746" t="s">
        <v>151</v>
      </c>
    </row>
    <row r="747" spans="1:8" x14ac:dyDescent="0.35">
      <c r="A747" t="s">
        <v>97</v>
      </c>
      <c r="B747" s="35">
        <f>imports2!I8</f>
        <v>0.27054578589139044</v>
      </c>
      <c r="C747" t="s">
        <v>170</v>
      </c>
      <c r="D747" t="s">
        <v>119</v>
      </c>
      <c r="F747" t="s">
        <v>134</v>
      </c>
      <c r="G747" t="s">
        <v>151</v>
      </c>
    </row>
    <row r="748" spans="1:8" x14ac:dyDescent="0.35">
      <c r="A748" s="9" t="s">
        <v>131</v>
      </c>
      <c r="B748" s="35">
        <f>imports2!I7</f>
        <v>4.9312830192547452E-2</v>
      </c>
      <c r="C748" t="s">
        <v>170</v>
      </c>
      <c r="D748" t="s">
        <v>119</v>
      </c>
      <c r="F748" t="s">
        <v>134</v>
      </c>
      <c r="G748" t="s">
        <v>151</v>
      </c>
    </row>
    <row r="749" spans="1:8" x14ac:dyDescent="0.35">
      <c r="A749" t="s">
        <v>123</v>
      </c>
      <c r="B749" s="35">
        <f>imports2!I9</f>
        <v>2.9626981034993907E-2</v>
      </c>
      <c r="C749" t="s">
        <v>170</v>
      </c>
      <c r="D749" t="s">
        <v>119</v>
      </c>
      <c r="F749" t="s">
        <v>134</v>
      </c>
      <c r="G749" t="s">
        <v>151</v>
      </c>
    </row>
    <row r="750" spans="1:8" x14ac:dyDescent="0.35">
      <c r="A750" t="s">
        <v>96</v>
      </c>
      <c r="B750" s="35">
        <f>imports2!J6</f>
        <v>0.258390264249312</v>
      </c>
      <c r="C750" t="s">
        <v>170</v>
      </c>
      <c r="D750" t="s">
        <v>119</v>
      </c>
      <c r="F750" t="s">
        <v>134</v>
      </c>
      <c r="G750" t="s">
        <v>151</v>
      </c>
    </row>
    <row r="751" spans="1:8" x14ac:dyDescent="0.35">
      <c r="A751" s="10" t="s">
        <v>136</v>
      </c>
      <c r="B751" s="35">
        <f>imports2!L6</f>
        <v>0.10321602730126453</v>
      </c>
      <c r="C751" t="s">
        <v>170</v>
      </c>
      <c r="D751" t="s">
        <v>119</v>
      </c>
      <c r="F751" t="s">
        <v>134</v>
      </c>
      <c r="G751" t="s">
        <v>151</v>
      </c>
      <c r="H751" t="s">
        <v>198</v>
      </c>
    </row>
    <row r="752" spans="1:8" x14ac:dyDescent="0.35">
      <c r="A752" s="35" t="s">
        <v>331</v>
      </c>
      <c r="B752" s="35">
        <f>imports2!N6*imports2!Y3</f>
        <v>2.5669550461059169E-2</v>
      </c>
      <c r="C752" t="s">
        <v>31</v>
      </c>
      <c r="D752" t="s">
        <v>119</v>
      </c>
      <c r="F752" t="s">
        <v>134</v>
      </c>
      <c r="G752" t="s">
        <v>151</v>
      </c>
      <c r="H752" t="s">
        <v>216</v>
      </c>
    </row>
    <row r="753" spans="1:8" x14ac:dyDescent="0.35">
      <c r="A753" s="35" t="s">
        <v>156</v>
      </c>
      <c r="B753" s="35">
        <f>imports2!N6*imports2!Y7</f>
        <v>1.1019349007980479E-2</v>
      </c>
      <c r="C753" t="s">
        <v>130</v>
      </c>
      <c r="D753" t="s">
        <v>119</v>
      </c>
      <c r="F753" t="s">
        <v>134</v>
      </c>
      <c r="G753" t="s">
        <v>151</v>
      </c>
    </row>
    <row r="754" spans="1:8" x14ac:dyDescent="0.35">
      <c r="A754" s="35" t="s">
        <v>156</v>
      </c>
      <c r="B754" s="35">
        <f>imports2!$N$6*imports2!Y4</f>
        <v>5.0543178546670385E-3</v>
      </c>
      <c r="C754" t="s">
        <v>246</v>
      </c>
      <c r="D754" t="s">
        <v>119</v>
      </c>
      <c r="F754" t="s">
        <v>134</v>
      </c>
      <c r="G754" t="s">
        <v>151</v>
      </c>
    </row>
    <row r="755" spans="1:8" x14ac:dyDescent="0.35">
      <c r="A755" s="35" t="s">
        <v>156</v>
      </c>
      <c r="B755" s="35">
        <f>imports2!$N$6*imports2!Y5</f>
        <v>8.3089711736804503E-3</v>
      </c>
      <c r="C755" t="s">
        <v>247</v>
      </c>
      <c r="D755" t="s">
        <v>119</v>
      </c>
      <c r="F755" t="s">
        <v>134</v>
      </c>
      <c r="G755" t="s">
        <v>151</v>
      </c>
    </row>
    <row r="756" spans="1:8" x14ac:dyDescent="0.35">
      <c r="A756" s="35" t="s">
        <v>156</v>
      </c>
      <c r="B756" s="35">
        <f>imports2!$N$6*imports2!Y6</f>
        <v>3.2932901996355329E-5</v>
      </c>
      <c r="C756" t="s">
        <v>248</v>
      </c>
      <c r="D756" t="s">
        <v>119</v>
      </c>
      <c r="F756" t="s">
        <v>134</v>
      </c>
      <c r="G756" t="s">
        <v>151</v>
      </c>
    </row>
    <row r="757" spans="1:8" x14ac:dyDescent="0.35">
      <c r="A757" s="35" t="s">
        <v>156</v>
      </c>
      <c r="B757" s="35">
        <f>imports2!$N$6*imports2!Y8</f>
        <v>2.1966245631568995E-3</v>
      </c>
      <c r="C757" t="s">
        <v>249</v>
      </c>
      <c r="D757" t="s">
        <v>119</v>
      </c>
      <c r="F757" t="s">
        <v>134</v>
      </c>
      <c r="G757" t="s">
        <v>151</v>
      </c>
    </row>
    <row r="758" spans="1:8" x14ac:dyDescent="0.35">
      <c r="A758" s="35" t="s">
        <v>156</v>
      </c>
      <c r="B758" s="35">
        <f>imports2!$N$6*imports2!Y9</f>
        <v>8.0290415067114304E-3</v>
      </c>
      <c r="C758" t="s">
        <v>250</v>
      </c>
      <c r="D758" t="s">
        <v>119</v>
      </c>
      <c r="F758" t="s">
        <v>134</v>
      </c>
      <c r="G758" t="s">
        <v>151</v>
      </c>
    </row>
    <row r="759" spans="1:8" x14ac:dyDescent="0.35">
      <c r="A759" s="35" t="s">
        <v>156</v>
      </c>
      <c r="B759" s="35">
        <f>imports2!$N$6*imports2!Y10</f>
        <v>5.6726923688722062E-3</v>
      </c>
      <c r="C759" t="s">
        <v>251</v>
      </c>
      <c r="D759" t="s">
        <v>119</v>
      </c>
      <c r="F759" t="s">
        <v>134</v>
      </c>
      <c r="G759" t="s">
        <v>151</v>
      </c>
      <c r="H759" t="s">
        <v>200</v>
      </c>
    </row>
    <row r="760" spans="1:8" x14ac:dyDescent="0.35">
      <c r="A760" s="35" t="str">
        <f>A745</f>
        <v xml:space="preserve">market for electricity, high voltage DE M23 </v>
      </c>
      <c r="B760" s="35">
        <f>imports2!M6*1.5</f>
        <v>4.567915761376859E-2</v>
      </c>
      <c r="C760" t="s">
        <v>170</v>
      </c>
      <c r="D760" t="s">
        <v>119</v>
      </c>
      <c r="F760" t="s">
        <v>134</v>
      </c>
      <c r="G760" t="s">
        <v>151</v>
      </c>
    </row>
    <row r="761" spans="1:8" x14ac:dyDescent="0.35">
      <c r="A761" t="s">
        <v>122</v>
      </c>
      <c r="B761" s="35">
        <f>imports2!H7</f>
        <v>2.8781564673414417E-2</v>
      </c>
      <c r="C761" t="s">
        <v>170</v>
      </c>
      <c r="D761" t="s">
        <v>119</v>
      </c>
      <c r="F761" t="s">
        <v>134</v>
      </c>
      <c r="G761" t="s">
        <v>152</v>
      </c>
    </row>
    <row r="762" spans="1:8" x14ac:dyDescent="0.35">
      <c r="A762" t="s">
        <v>121</v>
      </c>
      <c r="B762" s="35">
        <f>imports2!H8</f>
        <v>3.5844168946948626E-2</v>
      </c>
      <c r="C762" t="s">
        <v>170</v>
      </c>
      <c r="D762" t="s">
        <v>119</v>
      </c>
      <c r="F762" t="s">
        <v>134</v>
      </c>
      <c r="G762" t="s">
        <v>152</v>
      </c>
    </row>
    <row r="763" spans="1:8" x14ac:dyDescent="0.35">
      <c r="A763" t="s">
        <v>133</v>
      </c>
      <c r="B763" s="35">
        <f>imports2!H9</f>
        <v>0.11125054059929187</v>
      </c>
      <c r="C763" t="s">
        <v>170</v>
      </c>
      <c r="D763" t="s">
        <v>119</v>
      </c>
      <c r="F763" t="s">
        <v>134</v>
      </c>
      <c r="G763" t="s">
        <v>152</v>
      </c>
    </row>
    <row r="764" spans="1:8" x14ac:dyDescent="0.35">
      <c r="A764" t="s">
        <v>125</v>
      </c>
      <c r="B764" s="35">
        <f>imports2!S10</f>
        <v>2.1621783573657501E-9</v>
      </c>
      <c r="C764" t="s">
        <v>127</v>
      </c>
      <c r="D764" t="s">
        <v>138</v>
      </c>
      <c r="F764" t="s">
        <v>134</v>
      </c>
      <c r="G764" t="s">
        <v>101</v>
      </c>
    </row>
    <row r="767" spans="1:8" x14ac:dyDescent="0.35">
      <c r="A767" s="36" t="s">
        <v>19</v>
      </c>
      <c r="B767" s="35" t="s">
        <v>299</v>
      </c>
    </row>
    <row r="768" spans="1:8" x14ac:dyDescent="0.35">
      <c r="A768" t="s">
        <v>20</v>
      </c>
      <c r="B768" s="35">
        <v>1</v>
      </c>
    </row>
    <row r="769" spans="1:8" x14ac:dyDescent="0.35">
      <c r="A769" t="s">
        <v>21</v>
      </c>
      <c r="B769" s="35" t="s">
        <v>120</v>
      </c>
    </row>
    <row r="770" spans="1:8" x14ac:dyDescent="0.35">
      <c r="A770" t="s">
        <v>22</v>
      </c>
      <c r="B770" s="35" t="s">
        <v>151</v>
      </c>
    </row>
    <row r="771" spans="1:8" x14ac:dyDescent="0.35">
      <c r="A771" t="s">
        <v>23</v>
      </c>
      <c r="B771" s="35" t="s">
        <v>169</v>
      </c>
    </row>
    <row r="772" spans="1:8" x14ac:dyDescent="0.35">
      <c r="A772" t="s">
        <v>24</v>
      </c>
      <c r="B772" s="35" t="s">
        <v>119</v>
      </c>
    </row>
    <row r="773" spans="1:8" x14ac:dyDescent="0.35">
      <c r="A773" t="s">
        <v>25</v>
      </c>
      <c r="H773" t="s">
        <v>21</v>
      </c>
    </row>
    <row r="774" spans="1:8" x14ac:dyDescent="0.35">
      <c r="A774" t="s">
        <v>26</v>
      </c>
      <c r="B774" s="35" t="s">
        <v>27</v>
      </c>
      <c r="C774" t="s">
        <v>23</v>
      </c>
      <c r="D774" t="s">
        <v>24</v>
      </c>
      <c r="E774" t="s">
        <v>28</v>
      </c>
      <c r="F774" t="s">
        <v>29</v>
      </c>
      <c r="G774" t="s">
        <v>22</v>
      </c>
      <c r="H774" s="35" t="str">
        <f>B479</f>
        <v>RTE scenarios adapted from Ecoinvent - no background data altered</v>
      </c>
    </row>
    <row r="775" spans="1:8" x14ac:dyDescent="0.35">
      <c r="A775" s="35" t="str">
        <f>B767</f>
        <v xml:space="preserve">market for electricity, high voltage GB M23 </v>
      </c>
      <c r="B775" s="35">
        <v>1</v>
      </c>
      <c r="C775" t="s">
        <v>169</v>
      </c>
      <c r="D775" t="s">
        <v>119</v>
      </c>
      <c r="F775" t="s">
        <v>174</v>
      </c>
      <c r="G775" t="s">
        <v>151</v>
      </c>
      <c r="H775" t="s">
        <v>201</v>
      </c>
    </row>
    <row r="776" spans="1:8" x14ac:dyDescent="0.35">
      <c r="A776" s="35" t="str">
        <f>B767</f>
        <v xml:space="preserve">market for electricity, high voltage GB M23 </v>
      </c>
      <c r="B776" s="35">
        <v>3.26941222043741E-2</v>
      </c>
      <c r="C776" t="s">
        <v>169</v>
      </c>
      <c r="D776" t="s">
        <v>119</v>
      </c>
      <c r="F776" t="s">
        <v>134</v>
      </c>
      <c r="G776" t="s">
        <v>151</v>
      </c>
    </row>
    <row r="777" spans="1:8" x14ac:dyDescent="0.35">
      <c r="A777" t="s">
        <v>132</v>
      </c>
      <c r="B777" s="35">
        <f>imports2!G19</f>
        <v>1.3243315951176915E-2</v>
      </c>
      <c r="C777" t="s">
        <v>169</v>
      </c>
      <c r="D777" t="s">
        <v>119</v>
      </c>
      <c r="F777" t="s">
        <v>134</v>
      </c>
      <c r="G777" t="s">
        <v>151</v>
      </c>
    </row>
    <row r="778" spans="1:8" x14ac:dyDescent="0.35">
      <c r="A778" t="s">
        <v>199</v>
      </c>
      <c r="B778" s="35">
        <f>imports2!G18</f>
        <v>8.9405658518934977E-2</v>
      </c>
      <c r="C778" t="s">
        <v>169</v>
      </c>
      <c r="D778" t="s">
        <v>119</v>
      </c>
      <c r="F778" t="s">
        <v>134</v>
      </c>
      <c r="G778" t="s">
        <v>151</v>
      </c>
    </row>
    <row r="779" spans="1:8" x14ac:dyDescent="0.35">
      <c r="A779" t="s">
        <v>92</v>
      </c>
      <c r="B779" s="35">
        <f>imports2!K17</f>
        <v>3.8125908706551755E-2</v>
      </c>
      <c r="C779" t="s">
        <v>169</v>
      </c>
      <c r="D779" t="s">
        <v>119</v>
      </c>
      <c r="F779" t="s">
        <v>134</v>
      </c>
      <c r="G779" t="s">
        <v>151</v>
      </c>
    </row>
    <row r="780" spans="1:8" x14ac:dyDescent="0.35">
      <c r="A780" t="s">
        <v>97</v>
      </c>
      <c r="B780" s="35">
        <f>imports2!I20</f>
        <v>1.367831651297859E-2</v>
      </c>
      <c r="C780" t="s">
        <v>169</v>
      </c>
      <c r="D780" t="s">
        <v>119</v>
      </c>
      <c r="F780" t="s">
        <v>134</v>
      </c>
      <c r="G780" t="s">
        <v>151</v>
      </c>
    </row>
    <row r="781" spans="1:8" x14ac:dyDescent="0.35">
      <c r="A781" s="9" t="s">
        <v>131</v>
      </c>
      <c r="B781" s="35">
        <f>imports2!I18</f>
        <v>1.6512085966431005E-3</v>
      </c>
      <c r="C781" t="s">
        <v>169</v>
      </c>
      <c r="D781" t="s">
        <v>119</v>
      </c>
      <c r="F781" t="s">
        <v>134</v>
      </c>
      <c r="G781" t="s">
        <v>151</v>
      </c>
    </row>
    <row r="782" spans="1:8" x14ac:dyDescent="0.35">
      <c r="A782" t="s">
        <v>123</v>
      </c>
      <c r="B782" s="35">
        <f>imports2!I19</f>
        <v>9.6100156529368226E-4</v>
      </c>
      <c r="C782" t="s">
        <v>169</v>
      </c>
      <c r="D782" t="s">
        <v>119</v>
      </c>
      <c r="F782" t="s">
        <v>134</v>
      </c>
      <c r="G782" t="s">
        <v>151</v>
      </c>
    </row>
    <row r="783" spans="1:8" x14ac:dyDescent="0.35">
      <c r="A783" t="s">
        <v>96</v>
      </c>
      <c r="B783" s="35">
        <f>imports2!J17</f>
        <v>0.29280430490324977</v>
      </c>
      <c r="C783" t="s">
        <v>169</v>
      </c>
      <c r="D783" t="s">
        <v>119</v>
      </c>
      <c r="F783" t="s">
        <v>134</v>
      </c>
      <c r="G783" t="s">
        <v>151</v>
      </c>
    </row>
    <row r="784" spans="1:8" x14ac:dyDescent="0.35">
      <c r="A784" s="10" t="s">
        <v>136</v>
      </c>
      <c r="B784" s="35">
        <f>imports2!L17</f>
        <v>7.8769276726965903E-2</v>
      </c>
      <c r="C784" t="s">
        <v>169</v>
      </c>
      <c r="D784" t="s">
        <v>119</v>
      </c>
      <c r="F784" t="s">
        <v>134</v>
      </c>
      <c r="G784" t="s">
        <v>151</v>
      </c>
      <c r="H784" t="s">
        <v>200</v>
      </c>
    </row>
    <row r="785" spans="1:8" x14ac:dyDescent="0.35">
      <c r="A785" s="35" t="str">
        <f>A776</f>
        <v xml:space="preserve">market for electricity, high voltage GB M23 </v>
      </c>
      <c r="B785" s="35">
        <f>imports2!M17*1.5</f>
        <v>1.2432875805039075E-2</v>
      </c>
      <c r="C785" t="s">
        <v>169</v>
      </c>
      <c r="D785" t="s">
        <v>119</v>
      </c>
      <c r="F785" t="s">
        <v>134</v>
      </c>
      <c r="G785" t="s">
        <v>151</v>
      </c>
    </row>
    <row r="786" spans="1:8" x14ac:dyDescent="0.35">
      <c r="A786" t="s">
        <v>122</v>
      </c>
      <c r="B786" s="35">
        <f>imports2!H18</f>
        <v>9.6093041262761917E-3</v>
      </c>
      <c r="C786" t="s">
        <v>169</v>
      </c>
      <c r="D786" t="s">
        <v>119</v>
      </c>
      <c r="F786" t="s">
        <v>134</v>
      </c>
      <c r="G786" t="s">
        <v>152</v>
      </c>
    </row>
    <row r="787" spans="1:8" x14ac:dyDescent="0.35">
      <c r="A787" t="s">
        <v>121</v>
      </c>
      <c r="B787" s="35">
        <f>imports2!H19</f>
        <v>1.1986863908132712E-2</v>
      </c>
      <c r="C787" t="s">
        <v>169</v>
      </c>
      <c r="D787" t="s">
        <v>119</v>
      </c>
      <c r="F787" t="s">
        <v>134</v>
      </c>
      <c r="G787" t="s">
        <v>152</v>
      </c>
    </row>
    <row r="788" spans="1:8" x14ac:dyDescent="0.35">
      <c r="A788" t="s">
        <v>133</v>
      </c>
      <c r="B788" s="35">
        <f>imports2!H20</f>
        <v>4.1921001991008532E-2</v>
      </c>
      <c r="C788" t="s">
        <v>169</v>
      </c>
      <c r="D788" t="s">
        <v>119</v>
      </c>
      <c r="F788" t="s">
        <v>134</v>
      </c>
      <c r="G788" t="s">
        <v>152</v>
      </c>
    </row>
    <row r="789" spans="1:8" x14ac:dyDescent="0.35">
      <c r="A789" t="s">
        <v>125</v>
      </c>
      <c r="B789" s="35">
        <f>imports2!R22</f>
        <v>2.1670778390046501E-9</v>
      </c>
      <c r="C789" t="s">
        <v>127</v>
      </c>
      <c r="D789" t="s">
        <v>138</v>
      </c>
      <c r="F789" t="s">
        <v>134</v>
      </c>
      <c r="G789" t="s">
        <v>101</v>
      </c>
    </row>
    <row r="790" spans="1:8" x14ac:dyDescent="0.35">
      <c r="A790" t="s">
        <v>124</v>
      </c>
      <c r="B790" s="35">
        <f>imports2!R23</f>
        <v>1.4192813639264101E-10</v>
      </c>
      <c r="C790" t="s">
        <v>127</v>
      </c>
      <c r="D790" t="s">
        <v>138</v>
      </c>
      <c r="F790" t="s">
        <v>134</v>
      </c>
      <c r="G790" t="s">
        <v>102</v>
      </c>
    </row>
    <row r="791" spans="1:8" x14ac:dyDescent="0.35">
      <c r="A791" t="s">
        <v>157</v>
      </c>
      <c r="B791" s="35">
        <f>imports2!R24</f>
        <v>2.6965250167450102E-10</v>
      </c>
      <c r="C791" t="s">
        <v>127</v>
      </c>
      <c r="D791" t="s">
        <v>138</v>
      </c>
      <c r="F791" t="s">
        <v>134</v>
      </c>
      <c r="G791" t="s">
        <v>103</v>
      </c>
    </row>
    <row r="793" spans="1:8" x14ac:dyDescent="0.35">
      <c r="A793" s="36" t="s">
        <v>19</v>
      </c>
      <c r="B793" s="35" t="s">
        <v>298</v>
      </c>
    </row>
    <row r="794" spans="1:8" x14ac:dyDescent="0.35">
      <c r="A794" t="s">
        <v>20</v>
      </c>
      <c r="B794" s="35">
        <v>1</v>
      </c>
    </row>
    <row r="795" spans="1:8" x14ac:dyDescent="0.35">
      <c r="A795" t="s">
        <v>21</v>
      </c>
      <c r="B795" s="35" t="s">
        <v>120</v>
      </c>
    </row>
    <row r="796" spans="1:8" x14ac:dyDescent="0.35">
      <c r="A796" t="s">
        <v>22</v>
      </c>
      <c r="B796" s="35" t="s">
        <v>151</v>
      </c>
    </row>
    <row r="797" spans="1:8" x14ac:dyDescent="0.35">
      <c r="A797" t="s">
        <v>23</v>
      </c>
      <c r="B797" s="35" t="s">
        <v>168</v>
      </c>
    </row>
    <row r="798" spans="1:8" x14ac:dyDescent="0.35">
      <c r="A798" t="s">
        <v>24</v>
      </c>
      <c r="B798" s="35" t="s">
        <v>119</v>
      </c>
    </row>
    <row r="799" spans="1:8" x14ac:dyDescent="0.35">
      <c r="A799" t="s">
        <v>25</v>
      </c>
      <c r="H799" t="s">
        <v>21</v>
      </c>
    </row>
    <row r="800" spans="1:8" x14ac:dyDescent="0.35">
      <c r="A800" t="s">
        <v>26</v>
      </c>
      <c r="B800" s="35" t="s">
        <v>27</v>
      </c>
      <c r="C800" t="s">
        <v>23</v>
      </c>
      <c r="D800" t="s">
        <v>24</v>
      </c>
      <c r="E800" t="s">
        <v>28</v>
      </c>
      <c r="F800" t="s">
        <v>29</v>
      </c>
      <c r="G800" t="s">
        <v>22</v>
      </c>
      <c r="H800" s="35" t="str">
        <f>B506</f>
        <v>RTE scenarios adapted from Ecoinvent - no background data altered</v>
      </c>
    </row>
    <row r="801" spans="1:8" x14ac:dyDescent="0.35">
      <c r="A801" s="35" t="str">
        <f>B793</f>
        <v xml:space="preserve">market for electricity, high voltage IT M23 </v>
      </c>
      <c r="B801" s="35">
        <v>1</v>
      </c>
      <c r="C801" t="s">
        <v>168</v>
      </c>
      <c r="D801" t="s">
        <v>119</v>
      </c>
      <c r="F801" t="s">
        <v>174</v>
      </c>
      <c r="G801" t="s">
        <v>151</v>
      </c>
      <c r="H801" t="s">
        <v>201</v>
      </c>
    </row>
    <row r="802" spans="1:8" x14ac:dyDescent="0.35">
      <c r="A802" s="35" t="str">
        <f>B793</f>
        <v xml:space="preserve">market for electricity, high voltage IT M23 </v>
      </c>
      <c r="B802" s="35">
        <v>2.3357870144476399E-2</v>
      </c>
      <c r="C802" t="s">
        <v>168</v>
      </c>
      <c r="D802" t="s">
        <v>119</v>
      </c>
      <c r="F802" t="s">
        <v>134</v>
      </c>
      <c r="G802" t="s">
        <v>151</v>
      </c>
    </row>
    <row r="803" spans="1:8" x14ac:dyDescent="0.35">
      <c r="A803" t="s">
        <v>92</v>
      </c>
      <c r="B803" s="35">
        <f>imports2!K29</f>
        <v>1.7085942625630911E-2</v>
      </c>
      <c r="C803" t="s">
        <v>168</v>
      </c>
      <c r="D803" t="s">
        <v>119</v>
      </c>
      <c r="F803" t="s">
        <v>134</v>
      </c>
      <c r="G803" t="s">
        <v>151</v>
      </c>
    </row>
    <row r="804" spans="1:8" x14ac:dyDescent="0.35">
      <c r="A804" t="s">
        <v>91</v>
      </c>
      <c r="B804" s="35">
        <f>imports2!K30</f>
        <v>3.0376022688869929E-2</v>
      </c>
      <c r="C804" t="s">
        <v>168</v>
      </c>
      <c r="D804" t="s">
        <v>119</v>
      </c>
      <c r="F804" t="s">
        <v>134</v>
      </c>
      <c r="G804" t="s">
        <v>151</v>
      </c>
    </row>
    <row r="805" spans="1:8" x14ac:dyDescent="0.35">
      <c r="A805" t="s">
        <v>97</v>
      </c>
      <c r="B805" s="35">
        <f>imports2!I31</f>
        <v>4.911004801215172E-2</v>
      </c>
      <c r="C805" t="s">
        <v>168</v>
      </c>
      <c r="D805" t="s">
        <v>119</v>
      </c>
      <c r="F805" t="s">
        <v>134</v>
      </c>
      <c r="G805" t="s">
        <v>151</v>
      </c>
    </row>
    <row r="806" spans="1:8" x14ac:dyDescent="0.35">
      <c r="A806" s="9" t="s">
        <v>131</v>
      </c>
      <c r="B806" s="35">
        <f>imports2!I30</f>
        <v>2.1734444785016883E-2</v>
      </c>
      <c r="C806" t="s">
        <v>168</v>
      </c>
      <c r="D806" t="s">
        <v>119</v>
      </c>
      <c r="F806" t="s">
        <v>134</v>
      </c>
      <c r="G806" t="s">
        <v>151</v>
      </c>
    </row>
    <row r="807" spans="1:8" x14ac:dyDescent="0.35">
      <c r="A807" t="s">
        <v>123</v>
      </c>
      <c r="B807" s="35">
        <f>imports2!I29</f>
        <v>6.6363535802902293E-3</v>
      </c>
      <c r="C807" t="s">
        <v>168</v>
      </c>
      <c r="D807" t="s">
        <v>119</v>
      </c>
      <c r="F807" t="s">
        <v>134</v>
      </c>
      <c r="G807" t="s">
        <v>151</v>
      </c>
      <c r="H807" t="s">
        <v>223</v>
      </c>
    </row>
    <row r="808" spans="1:8" x14ac:dyDescent="0.35">
      <c r="A808" t="s">
        <v>96</v>
      </c>
      <c r="B808" s="35">
        <f>imports2!J28</f>
        <v>4.0763714178789885E-2</v>
      </c>
      <c r="C808" t="s">
        <v>171</v>
      </c>
      <c r="D808" t="s">
        <v>119</v>
      </c>
      <c r="F808" t="s">
        <v>134</v>
      </c>
      <c r="G808" t="s">
        <v>151</v>
      </c>
    </row>
    <row r="809" spans="1:8" x14ac:dyDescent="0.35">
      <c r="A809" s="10" t="s">
        <v>136</v>
      </c>
      <c r="B809" s="35">
        <f>imports2!L28</f>
        <v>5.390249870409735E-2</v>
      </c>
      <c r="C809" t="s">
        <v>168</v>
      </c>
      <c r="D809" t="s">
        <v>119</v>
      </c>
      <c r="F809" t="s">
        <v>134</v>
      </c>
      <c r="G809" t="s">
        <v>151</v>
      </c>
      <c r="H809" t="s">
        <v>198</v>
      </c>
    </row>
    <row r="810" spans="1:8" x14ac:dyDescent="0.35">
      <c r="A810" s="35" t="s">
        <v>332</v>
      </c>
      <c r="B810" s="35">
        <f>imports2!N28*imports2!Y27</f>
        <v>1.4820330291191916E-2</v>
      </c>
      <c r="C810" t="s">
        <v>31</v>
      </c>
      <c r="D810" t="s">
        <v>119</v>
      </c>
      <c r="F810" t="s">
        <v>134</v>
      </c>
      <c r="G810" t="s">
        <v>151</v>
      </c>
    </row>
    <row r="811" spans="1:8" x14ac:dyDescent="0.35">
      <c r="A811" s="35" t="s">
        <v>156</v>
      </c>
      <c r="B811" s="35">
        <f>imports2!N28*imports2!Y28</f>
        <v>2.1576405759772908E-2</v>
      </c>
      <c r="C811" t="s">
        <v>130</v>
      </c>
      <c r="D811" t="s">
        <v>119</v>
      </c>
      <c r="F811" t="s">
        <v>134</v>
      </c>
      <c r="G811" t="s">
        <v>151</v>
      </c>
    </row>
    <row r="812" spans="1:8" x14ac:dyDescent="0.35">
      <c r="A812" s="35" t="s">
        <v>156</v>
      </c>
      <c r="B812" s="35">
        <f>imports2!$N$28*imports2!Y26</f>
        <v>3.6185874731225807E-5</v>
      </c>
      <c r="C812" t="s">
        <v>252</v>
      </c>
      <c r="D812" t="s">
        <v>119</v>
      </c>
      <c r="F812" t="s">
        <v>134</v>
      </c>
      <c r="G812" t="s">
        <v>151</v>
      </c>
    </row>
    <row r="813" spans="1:8" x14ac:dyDescent="0.35">
      <c r="A813" s="35" t="s">
        <v>156</v>
      </c>
      <c r="B813" s="35">
        <f>imports2!$N$28*imports2!Y29</f>
        <v>1.8967884634918721E-5</v>
      </c>
      <c r="C813" t="s">
        <v>253</v>
      </c>
      <c r="D813" t="s">
        <v>119</v>
      </c>
      <c r="F813" t="s">
        <v>134</v>
      </c>
      <c r="G813" t="s">
        <v>151</v>
      </c>
    </row>
    <row r="814" spans="1:8" x14ac:dyDescent="0.35">
      <c r="A814" s="35" t="s">
        <v>156</v>
      </c>
      <c r="B814" s="35">
        <f>imports2!$N$28*imports2!Y30</f>
        <v>1.1946559180011354E-3</v>
      </c>
      <c r="C814" t="s">
        <v>250</v>
      </c>
      <c r="D814" t="s">
        <v>119</v>
      </c>
      <c r="F814" t="s">
        <v>134</v>
      </c>
      <c r="G814" t="s">
        <v>151</v>
      </c>
    </row>
    <row r="815" spans="1:8" x14ac:dyDescent="0.35">
      <c r="A815" s="35" t="s">
        <v>156</v>
      </c>
      <c r="B815" s="35">
        <f>imports2!$N$28*imports2!Y31</f>
        <v>5.0490465410198034E-3</v>
      </c>
      <c r="C815" t="s">
        <v>254</v>
      </c>
      <c r="D815" t="s">
        <v>119</v>
      </c>
      <c r="F815" t="s">
        <v>134</v>
      </c>
      <c r="G815" t="s">
        <v>151</v>
      </c>
    </row>
    <row r="816" spans="1:8" x14ac:dyDescent="0.35">
      <c r="A816" s="35" t="s">
        <v>156</v>
      </c>
      <c r="B816" s="35">
        <f>imports2!$N$28*imports2!Y32</f>
        <v>5.5245142747605271E-5</v>
      </c>
      <c r="C816" t="s">
        <v>255</v>
      </c>
      <c r="D816" t="s">
        <v>119</v>
      </c>
      <c r="F816" t="s">
        <v>134</v>
      </c>
      <c r="G816" t="s">
        <v>151</v>
      </c>
      <c r="H816" t="s">
        <v>200</v>
      </c>
    </row>
    <row r="817" spans="1:8" x14ac:dyDescent="0.35">
      <c r="A817" s="35" t="str">
        <f>A801</f>
        <v xml:space="preserve">market for electricity, high voltage IT M23 </v>
      </c>
      <c r="B817" s="35">
        <f>imports2!M28*1.5</f>
        <v>7.4210092933762087E-2</v>
      </c>
      <c r="C817" t="s">
        <v>168</v>
      </c>
      <c r="D817" t="s">
        <v>119</v>
      </c>
      <c r="F817" t="s">
        <v>134</v>
      </c>
      <c r="G817" t="s">
        <v>151</v>
      </c>
    </row>
    <row r="818" spans="1:8" x14ac:dyDescent="0.35">
      <c r="A818" t="s">
        <v>122</v>
      </c>
      <c r="B818" s="35">
        <f>imports2!H29</f>
        <v>5.9591618739746291E-2</v>
      </c>
      <c r="C818" t="s">
        <v>168</v>
      </c>
      <c r="D818" t="s">
        <v>119</v>
      </c>
      <c r="F818" t="s">
        <v>134</v>
      </c>
      <c r="G818" t="s">
        <v>152</v>
      </c>
    </row>
    <row r="819" spans="1:8" x14ac:dyDescent="0.35">
      <c r="A819" t="s">
        <v>121</v>
      </c>
      <c r="B819" s="35">
        <f>imports2!H30</f>
        <v>7.4214590977489642E-2</v>
      </c>
      <c r="C819" t="s">
        <v>168</v>
      </c>
      <c r="D819" t="s">
        <v>119</v>
      </c>
      <c r="F819" t="s">
        <v>134</v>
      </c>
      <c r="G819" t="s">
        <v>152</v>
      </c>
    </row>
    <row r="820" spans="1:8" x14ac:dyDescent="0.35">
      <c r="A820" t="s">
        <v>133</v>
      </c>
      <c r="B820" s="35">
        <f>imports2!H31</f>
        <v>0.23034188291046737</v>
      </c>
      <c r="C820" t="s">
        <v>168</v>
      </c>
      <c r="D820" t="s">
        <v>119</v>
      </c>
      <c r="F820" t="s">
        <v>134</v>
      </c>
      <c r="G820" t="s">
        <v>152</v>
      </c>
    </row>
    <row r="821" spans="1:8" x14ac:dyDescent="0.35">
      <c r="A821" t="s">
        <v>125</v>
      </c>
      <c r="B821" s="35">
        <f>imports2!R33</f>
        <v>6.6544044844740601E-9</v>
      </c>
      <c r="C821" t="s">
        <v>127</v>
      </c>
      <c r="D821" t="s">
        <v>138</v>
      </c>
      <c r="F821" t="s">
        <v>134</v>
      </c>
      <c r="G821" t="s">
        <v>101</v>
      </c>
    </row>
    <row r="822" spans="1:8" x14ac:dyDescent="0.35">
      <c r="A822" t="s">
        <v>124</v>
      </c>
      <c r="B822" s="35">
        <f>imports2!R34</f>
        <v>1.9648610168655699E-10</v>
      </c>
      <c r="C822" t="s">
        <v>127</v>
      </c>
      <c r="D822" t="s">
        <v>138</v>
      </c>
      <c r="F822" t="s">
        <v>134</v>
      </c>
      <c r="G822" t="s">
        <v>102</v>
      </c>
    </row>
    <row r="823" spans="1:8" x14ac:dyDescent="0.35">
      <c r="A823" t="s">
        <v>157</v>
      </c>
      <c r="B823" s="35">
        <f>imports2!R35</f>
        <v>1.6557078487408601E-10</v>
      </c>
      <c r="C823" t="s">
        <v>127</v>
      </c>
      <c r="D823" t="s">
        <v>138</v>
      </c>
      <c r="F823" t="s">
        <v>134</v>
      </c>
      <c r="G823" t="s">
        <v>103</v>
      </c>
    </row>
    <row r="825" spans="1:8" x14ac:dyDescent="0.35">
      <c r="A825" s="36" t="s">
        <v>19</v>
      </c>
      <c r="B825" s="35" t="s">
        <v>302</v>
      </c>
    </row>
    <row r="826" spans="1:8" x14ac:dyDescent="0.35">
      <c r="A826" t="s">
        <v>20</v>
      </c>
      <c r="B826" s="35">
        <v>1</v>
      </c>
    </row>
    <row r="827" spans="1:8" x14ac:dyDescent="0.35">
      <c r="A827" t="s">
        <v>21</v>
      </c>
      <c r="B827" s="35" t="s">
        <v>120</v>
      </c>
    </row>
    <row r="828" spans="1:8" x14ac:dyDescent="0.35">
      <c r="A828" t="s">
        <v>22</v>
      </c>
      <c r="B828" s="35" t="s">
        <v>151</v>
      </c>
    </row>
    <row r="829" spans="1:8" x14ac:dyDescent="0.35">
      <c r="A829" t="s">
        <v>23</v>
      </c>
      <c r="B829" s="35" t="s">
        <v>171</v>
      </c>
    </row>
    <row r="830" spans="1:8" x14ac:dyDescent="0.35">
      <c r="A830" t="s">
        <v>24</v>
      </c>
      <c r="B830" s="35" t="s">
        <v>119</v>
      </c>
    </row>
    <row r="831" spans="1:8" x14ac:dyDescent="0.35">
      <c r="A831" t="s">
        <v>25</v>
      </c>
      <c r="H831" t="s">
        <v>21</v>
      </c>
    </row>
    <row r="832" spans="1:8" x14ac:dyDescent="0.35">
      <c r="A832" t="s">
        <v>26</v>
      </c>
      <c r="B832" s="35" t="s">
        <v>27</v>
      </c>
      <c r="C832" t="s">
        <v>23</v>
      </c>
      <c r="D832" t="s">
        <v>24</v>
      </c>
      <c r="E832" t="s">
        <v>28</v>
      </c>
      <c r="F832" t="s">
        <v>29</v>
      </c>
      <c r="G832" t="s">
        <v>22</v>
      </c>
      <c r="H832" s="35" t="str">
        <f>B538</f>
        <v>RTE scenarios adapted from Ecoinvent - no background data altered</v>
      </c>
    </row>
    <row r="833" spans="1:8" x14ac:dyDescent="0.35">
      <c r="A833" s="35" t="str">
        <f>B825</f>
        <v xml:space="preserve">market for electricity, high voltage ES M23 </v>
      </c>
      <c r="B833" s="35">
        <v>1</v>
      </c>
      <c r="C833" t="s">
        <v>171</v>
      </c>
      <c r="D833" t="s">
        <v>119</v>
      </c>
      <c r="F833" t="s">
        <v>174</v>
      </c>
      <c r="G833" t="s">
        <v>151</v>
      </c>
      <c r="H833" t="s">
        <v>201</v>
      </c>
    </row>
    <row r="834" spans="1:8" x14ac:dyDescent="0.35">
      <c r="A834" s="35" t="str">
        <f>B825</f>
        <v xml:space="preserve">market for electricity, high voltage ES M23 </v>
      </c>
      <c r="B834" s="35">
        <v>3.7364253070203898E-2</v>
      </c>
      <c r="C834" t="s">
        <v>171</v>
      </c>
      <c r="D834" t="s">
        <v>119</v>
      </c>
      <c r="F834" t="s">
        <v>134</v>
      </c>
      <c r="G834" t="s">
        <v>151</v>
      </c>
    </row>
    <row r="835" spans="1:8" x14ac:dyDescent="0.35">
      <c r="A835" t="s">
        <v>92</v>
      </c>
      <c r="B835" s="35">
        <f>imports2!K40</f>
        <v>2.3717975097580838E-2</v>
      </c>
      <c r="C835" t="s">
        <v>171</v>
      </c>
      <c r="D835" t="s">
        <v>119</v>
      </c>
      <c r="F835" t="s">
        <v>134</v>
      </c>
      <c r="G835" t="s">
        <v>151</v>
      </c>
    </row>
    <row r="836" spans="1:8" x14ac:dyDescent="0.35">
      <c r="A836" t="s">
        <v>195</v>
      </c>
      <c r="B836" s="35">
        <f>imports2!K41</f>
        <v>1.2218119891210072E-2</v>
      </c>
      <c r="C836" t="s">
        <v>171</v>
      </c>
      <c r="D836" t="s">
        <v>119</v>
      </c>
      <c r="F836" t="s">
        <v>134</v>
      </c>
      <c r="G836" t="s">
        <v>151</v>
      </c>
    </row>
    <row r="837" spans="1:8" x14ac:dyDescent="0.35">
      <c r="A837" t="s">
        <v>97</v>
      </c>
      <c r="B837" s="35">
        <f>imports2!I40</f>
        <v>0.11161447551055156</v>
      </c>
      <c r="C837" t="s">
        <v>171</v>
      </c>
      <c r="D837" t="s">
        <v>119</v>
      </c>
      <c r="F837" t="s">
        <v>134</v>
      </c>
      <c r="G837" t="s">
        <v>151</v>
      </c>
    </row>
    <row r="838" spans="1:8" x14ac:dyDescent="0.35">
      <c r="A838" s="9" t="s">
        <v>131</v>
      </c>
      <c r="B838" s="35">
        <f>imports2!I42</f>
        <v>6.1438480972824956E-2</v>
      </c>
      <c r="C838" t="s">
        <v>171</v>
      </c>
      <c r="D838" t="s">
        <v>119</v>
      </c>
      <c r="F838" t="s">
        <v>134</v>
      </c>
      <c r="G838" t="s">
        <v>151</v>
      </c>
    </row>
    <row r="839" spans="1:8" x14ac:dyDescent="0.35">
      <c r="A839" t="s">
        <v>123</v>
      </c>
      <c r="B839" s="35">
        <f>imports2!I41</f>
        <v>2.9638127672880423E-4</v>
      </c>
      <c r="C839" t="s">
        <v>171</v>
      </c>
      <c r="D839" t="s">
        <v>119</v>
      </c>
      <c r="F839" t="s">
        <v>134</v>
      </c>
      <c r="G839" t="s">
        <v>151</v>
      </c>
    </row>
    <row r="840" spans="1:8" x14ac:dyDescent="0.35">
      <c r="A840" t="s">
        <v>96</v>
      </c>
      <c r="B840" s="35">
        <f>imports2!J39</f>
        <v>2.8120899537284662E-2</v>
      </c>
      <c r="C840" t="s">
        <v>171</v>
      </c>
      <c r="D840" t="s">
        <v>119</v>
      </c>
      <c r="F840" t="s">
        <v>134</v>
      </c>
      <c r="G840" t="s">
        <v>151</v>
      </c>
    </row>
    <row r="841" spans="1:8" x14ac:dyDescent="0.35">
      <c r="A841" s="10" t="s">
        <v>136</v>
      </c>
      <c r="B841" s="35">
        <f>imports2!L39</f>
        <v>1.9025342775696247E-2</v>
      </c>
      <c r="C841" t="s">
        <v>171</v>
      </c>
      <c r="D841" t="s">
        <v>119</v>
      </c>
      <c r="F841" t="s">
        <v>134</v>
      </c>
      <c r="G841" t="s">
        <v>151</v>
      </c>
      <c r="H841" t="s">
        <v>200</v>
      </c>
    </row>
    <row r="842" spans="1:8" x14ac:dyDescent="0.35">
      <c r="A842" s="35" t="str">
        <f>A834</f>
        <v xml:space="preserve">market for electricity, high voltage ES M23 </v>
      </c>
      <c r="B842" s="35">
        <f>imports2!M39*1.5</f>
        <v>6.9723253449038916E-2</v>
      </c>
      <c r="C842" t="s">
        <v>171</v>
      </c>
      <c r="D842" t="s">
        <v>119</v>
      </c>
      <c r="F842" t="s">
        <v>134</v>
      </c>
      <c r="G842" t="s">
        <v>151</v>
      </c>
    </row>
    <row r="843" spans="1:8" x14ac:dyDescent="0.35">
      <c r="A843" t="s">
        <v>122</v>
      </c>
      <c r="B843" s="35">
        <f>imports2!H40</f>
        <v>6.4011201986494251E-2</v>
      </c>
      <c r="C843" t="s">
        <v>171</v>
      </c>
      <c r="D843" t="s">
        <v>119</v>
      </c>
      <c r="F843" t="s">
        <v>134</v>
      </c>
      <c r="G843" t="s">
        <v>152</v>
      </c>
    </row>
    <row r="844" spans="1:8" x14ac:dyDescent="0.35">
      <c r="A844" t="s">
        <v>121</v>
      </c>
      <c r="B844" s="35">
        <f>imports2!H41</f>
        <v>7.974407572717343E-2</v>
      </c>
      <c r="C844" t="s">
        <v>171</v>
      </c>
      <c r="D844" t="s">
        <v>119</v>
      </c>
      <c r="F844" t="s">
        <v>134</v>
      </c>
      <c r="G844" t="s">
        <v>152</v>
      </c>
    </row>
    <row r="845" spans="1:8" x14ac:dyDescent="0.35">
      <c r="A845" t="s">
        <v>133</v>
      </c>
      <c r="B845" s="35">
        <f>imports2!H42</f>
        <v>9.6772597848279851E-2</v>
      </c>
      <c r="C845" t="s">
        <v>171</v>
      </c>
      <c r="D845" t="s">
        <v>119</v>
      </c>
      <c r="F845" t="s">
        <v>134</v>
      </c>
      <c r="G845" t="s">
        <v>152</v>
      </c>
    </row>
    <row r="846" spans="1:8" x14ac:dyDescent="0.35">
      <c r="A846" t="s">
        <v>125</v>
      </c>
      <c r="B846" s="35">
        <f>imports2!R45</f>
        <v>4.94760991840923E-9</v>
      </c>
      <c r="C846" t="s">
        <v>127</v>
      </c>
      <c r="D846" t="s">
        <v>138</v>
      </c>
      <c r="F846" t="s">
        <v>134</v>
      </c>
      <c r="G846" t="s">
        <v>101</v>
      </c>
    </row>
    <row r="847" spans="1:8" x14ac:dyDescent="0.35">
      <c r="A847" t="s">
        <v>124</v>
      </c>
      <c r="B847" s="35">
        <f>imports2!R46</f>
        <v>1.2961596435765799E-10</v>
      </c>
      <c r="C847" t="s">
        <v>127</v>
      </c>
      <c r="D847" t="s">
        <v>138</v>
      </c>
      <c r="F847" t="s">
        <v>134</v>
      </c>
      <c r="G847" t="s">
        <v>102</v>
      </c>
    </row>
    <row r="848" spans="1:8" x14ac:dyDescent="0.35">
      <c r="A848" t="s">
        <v>157</v>
      </c>
      <c r="B848" s="35">
        <f>imports2!R47</f>
        <v>1.0194905896113601E-10</v>
      </c>
      <c r="C848" t="s">
        <v>127</v>
      </c>
      <c r="D848" t="s">
        <v>138</v>
      </c>
      <c r="F848" t="s">
        <v>134</v>
      </c>
      <c r="G848" t="s">
        <v>103</v>
      </c>
    </row>
    <row r="850" spans="1:8" x14ac:dyDescent="0.35">
      <c r="A850" s="36" t="s">
        <v>19</v>
      </c>
      <c r="B850" s="35" t="s">
        <v>301</v>
      </c>
    </row>
    <row r="851" spans="1:8" x14ac:dyDescent="0.35">
      <c r="A851" t="s">
        <v>20</v>
      </c>
      <c r="B851" s="35">
        <v>1</v>
      </c>
    </row>
    <row r="852" spans="1:8" x14ac:dyDescent="0.35">
      <c r="A852" t="s">
        <v>21</v>
      </c>
      <c r="B852" s="35" t="s">
        <v>120</v>
      </c>
    </row>
    <row r="853" spans="1:8" x14ac:dyDescent="0.35">
      <c r="A853" t="s">
        <v>22</v>
      </c>
      <c r="B853" s="35" t="s">
        <v>151</v>
      </c>
    </row>
    <row r="854" spans="1:8" x14ac:dyDescent="0.35">
      <c r="A854" t="s">
        <v>23</v>
      </c>
      <c r="B854" s="35" t="s">
        <v>12</v>
      </c>
    </row>
    <row r="855" spans="1:8" x14ac:dyDescent="0.35">
      <c r="A855" t="s">
        <v>24</v>
      </c>
      <c r="B855" s="35" t="s">
        <v>119</v>
      </c>
    </row>
    <row r="856" spans="1:8" x14ac:dyDescent="0.35">
      <c r="A856" t="s">
        <v>25</v>
      </c>
      <c r="H856" t="s">
        <v>21</v>
      </c>
    </row>
    <row r="857" spans="1:8" x14ac:dyDescent="0.35">
      <c r="A857" t="s">
        <v>26</v>
      </c>
      <c r="B857" s="35" t="s">
        <v>27</v>
      </c>
      <c r="C857" t="s">
        <v>23</v>
      </c>
      <c r="D857" t="s">
        <v>24</v>
      </c>
      <c r="E857" t="s">
        <v>28</v>
      </c>
      <c r="F857" t="s">
        <v>29</v>
      </c>
      <c r="G857" t="s">
        <v>22</v>
      </c>
      <c r="H857" s="35" t="str">
        <f>B564</f>
        <v>RTE scenarios adapted from Ecoinvent - no background data altered</v>
      </c>
    </row>
    <row r="858" spans="1:8" x14ac:dyDescent="0.35">
      <c r="A858" s="35" t="str">
        <f>B850</f>
        <v xml:space="preserve">market for electricity, high voltage BE M23 </v>
      </c>
      <c r="B858" s="35">
        <v>1</v>
      </c>
      <c r="C858" t="s">
        <v>12</v>
      </c>
      <c r="D858" t="s">
        <v>119</v>
      </c>
      <c r="F858" t="s">
        <v>174</v>
      </c>
      <c r="G858" t="s">
        <v>151</v>
      </c>
      <c r="H858" t="s">
        <v>230</v>
      </c>
    </row>
    <row r="859" spans="1:8" x14ac:dyDescent="0.35">
      <c r="A859" s="35" t="str">
        <f>B850</f>
        <v xml:space="preserve">market for electricity, high voltage BE M23 </v>
      </c>
      <c r="B859" s="35">
        <f>imports2!F71+imports2!G49</f>
        <v>0.22922391263786926</v>
      </c>
      <c r="C859" t="s">
        <v>12</v>
      </c>
      <c r="D859" t="s">
        <v>119</v>
      </c>
      <c r="F859" t="s">
        <v>134</v>
      </c>
      <c r="G859" t="s">
        <v>151</v>
      </c>
    </row>
    <row r="860" spans="1:8" x14ac:dyDescent="0.35">
      <c r="A860" t="s">
        <v>90</v>
      </c>
      <c r="B860" s="35">
        <f>imports2!G50</f>
        <v>9.1908439025275221E-3</v>
      </c>
      <c r="C860" t="s">
        <v>12</v>
      </c>
      <c r="D860" t="s">
        <v>119</v>
      </c>
      <c r="F860" t="s">
        <v>134</v>
      </c>
      <c r="G860" t="s">
        <v>151</v>
      </c>
    </row>
    <row r="861" spans="1:8" x14ac:dyDescent="0.35">
      <c r="A861" t="s">
        <v>92</v>
      </c>
      <c r="B861" s="35">
        <f>imports2!G53</f>
        <v>3.1570005215688281E-3</v>
      </c>
      <c r="C861" t="s">
        <v>12</v>
      </c>
      <c r="D861" t="s">
        <v>119</v>
      </c>
      <c r="F861" t="s">
        <v>134</v>
      </c>
      <c r="G861" t="s">
        <v>151</v>
      </c>
    </row>
    <row r="862" spans="1:8" x14ac:dyDescent="0.35">
      <c r="A862" t="s">
        <v>96</v>
      </c>
      <c r="B862" s="35">
        <f>imports2!G54</f>
        <v>4.009085504727028E-2</v>
      </c>
      <c r="C862" t="s">
        <v>12</v>
      </c>
      <c r="D862" t="s">
        <v>119</v>
      </c>
      <c r="F862" t="s">
        <v>134</v>
      </c>
      <c r="G862" t="s">
        <v>151</v>
      </c>
    </row>
    <row r="863" spans="1:8" x14ac:dyDescent="0.35">
      <c r="A863" t="s">
        <v>132</v>
      </c>
      <c r="B863" s="35">
        <f>imports2!G56</f>
        <v>0.43200142560211408</v>
      </c>
      <c r="C863" t="s">
        <v>12</v>
      </c>
      <c r="D863" t="s">
        <v>119</v>
      </c>
      <c r="F863" t="s">
        <v>134</v>
      </c>
      <c r="G863" t="s">
        <v>151</v>
      </c>
    </row>
    <row r="864" spans="1:8" x14ac:dyDescent="0.35">
      <c r="A864" t="s">
        <v>123</v>
      </c>
      <c r="B864" s="35">
        <f>imports2!G58</f>
        <v>6.2704498274183266E-3</v>
      </c>
      <c r="C864" t="s">
        <v>12</v>
      </c>
      <c r="D864" t="s">
        <v>119</v>
      </c>
      <c r="F864" t="s">
        <v>134</v>
      </c>
      <c r="G864" t="s">
        <v>151</v>
      </c>
    </row>
    <row r="865" spans="1:8" x14ac:dyDescent="0.35">
      <c r="A865" t="s">
        <v>218</v>
      </c>
      <c r="B865" s="35">
        <f>imports2!G63</f>
        <v>2.2117724493565531E-2</v>
      </c>
      <c r="C865" t="s">
        <v>12</v>
      </c>
      <c r="D865" t="s">
        <v>119</v>
      </c>
      <c r="F865" t="s">
        <v>134</v>
      </c>
      <c r="G865" t="s">
        <v>151</v>
      </c>
    </row>
    <row r="866" spans="1:8" x14ac:dyDescent="0.35">
      <c r="A866" t="s">
        <v>97</v>
      </c>
      <c r="B866" s="35">
        <f>imports2!G64</f>
        <v>5.3143174443699585E-2</v>
      </c>
      <c r="C866" t="s">
        <v>12</v>
      </c>
      <c r="D866" t="s">
        <v>119</v>
      </c>
      <c r="F866" t="s">
        <v>134</v>
      </c>
      <c r="G866" t="s">
        <v>151</v>
      </c>
    </row>
    <row r="867" spans="1:8" x14ac:dyDescent="0.35">
      <c r="A867" t="s">
        <v>196</v>
      </c>
      <c r="B867" s="35">
        <f>imports2!G65</f>
        <v>3.3712085572547611E-3</v>
      </c>
      <c r="C867" t="s">
        <v>12</v>
      </c>
      <c r="D867" t="s">
        <v>119</v>
      </c>
      <c r="F867" t="s">
        <v>134</v>
      </c>
      <c r="G867" t="s">
        <v>151</v>
      </c>
    </row>
    <row r="868" spans="1:8" x14ac:dyDescent="0.35">
      <c r="A868" t="s">
        <v>131</v>
      </c>
      <c r="B868" s="35">
        <f>imports2!G70</f>
        <v>1.5753243368237799E-3</v>
      </c>
      <c r="C868" t="s">
        <v>12</v>
      </c>
      <c r="D868" t="s">
        <v>119</v>
      </c>
      <c r="F868" t="s">
        <v>134</v>
      </c>
      <c r="G868" t="s">
        <v>151</v>
      </c>
    </row>
    <row r="869" spans="1:8" x14ac:dyDescent="0.35">
      <c r="A869" s="35" t="s">
        <v>299</v>
      </c>
      <c r="B869" s="35">
        <f>imports2!H69</f>
        <v>1.3346874905555593E-3</v>
      </c>
      <c r="C869" t="s">
        <v>169</v>
      </c>
      <c r="D869" t="s">
        <v>119</v>
      </c>
      <c r="F869" t="s">
        <v>134</v>
      </c>
      <c r="G869" t="s">
        <v>151</v>
      </c>
      <c r="H869" t="s">
        <v>198</v>
      </c>
    </row>
    <row r="870" spans="1:8" x14ac:dyDescent="0.35">
      <c r="A870" s="35" t="s">
        <v>331</v>
      </c>
      <c r="B870" s="35">
        <f>imports2!H68</f>
        <v>6.9830342662515907E-2</v>
      </c>
      <c r="C870" t="s">
        <v>31</v>
      </c>
      <c r="D870" t="s">
        <v>119</v>
      </c>
      <c r="F870" t="s">
        <v>134</v>
      </c>
      <c r="G870" t="s">
        <v>151</v>
      </c>
    </row>
    <row r="871" spans="1:8" x14ac:dyDescent="0.35">
      <c r="A871" t="s">
        <v>156</v>
      </c>
      <c r="B871" s="35">
        <f>imports2!H51</f>
        <v>8.5741000184423437E-4</v>
      </c>
      <c r="C871" t="s">
        <v>256</v>
      </c>
      <c r="D871" t="s">
        <v>119</v>
      </c>
      <c r="F871" t="s">
        <v>134</v>
      </c>
      <c r="G871" t="s">
        <v>151</v>
      </c>
    </row>
    <row r="872" spans="1:8" x14ac:dyDescent="0.35">
      <c r="A872" t="s">
        <v>156</v>
      </c>
      <c r="B872" s="35">
        <f>imports2!H67</f>
        <v>6.2443100823966341E-2</v>
      </c>
      <c r="C872" t="s">
        <v>247</v>
      </c>
      <c r="D872" t="s">
        <v>119</v>
      </c>
      <c r="F872" t="s">
        <v>134</v>
      </c>
      <c r="G872" t="s">
        <v>151</v>
      </c>
    </row>
    <row r="873" spans="1:8" x14ac:dyDescent="0.35">
      <c r="A873" s="9" t="s">
        <v>122</v>
      </c>
      <c r="B873" s="35">
        <f>imports2!H77</f>
        <v>2.0631916101271498E-2</v>
      </c>
      <c r="C873" t="s">
        <v>12</v>
      </c>
      <c r="D873" t="s">
        <v>119</v>
      </c>
      <c r="F873" t="s">
        <v>134</v>
      </c>
      <c r="G873" t="s">
        <v>152</v>
      </c>
    </row>
    <row r="874" spans="1:8" x14ac:dyDescent="0.35">
      <c r="A874" s="9" t="s">
        <v>121</v>
      </c>
      <c r="B874" s="35">
        <f>imports2!H78</f>
        <v>4.1263832202542997E-2</v>
      </c>
      <c r="C874" t="s">
        <v>12</v>
      </c>
      <c r="D874" t="s">
        <v>119</v>
      </c>
      <c r="F874" t="s">
        <v>134</v>
      </c>
      <c r="G874" t="s">
        <v>152</v>
      </c>
    </row>
    <row r="875" spans="1:8" x14ac:dyDescent="0.35">
      <c r="A875" t="s">
        <v>133</v>
      </c>
      <c r="B875" s="35">
        <f>imports2!H79</f>
        <v>2.0631916101271498E-2</v>
      </c>
      <c r="C875" t="s">
        <v>12</v>
      </c>
      <c r="D875" t="s">
        <v>119</v>
      </c>
      <c r="F875" t="s">
        <v>134</v>
      </c>
      <c r="G875" t="s">
        <v>152</v>
      </c>
    </row>
    <row r="876" spans="1:8" x14ac:dyDescent="0.35">
      <c r="A876" t="s">
        <v>125</v>
      </c>
      <c r="B876" s="35">
        <f>imports2!G74</f>
        <v>2.1426993590677398E-9</v>
      </c>
      <c r="C876" t="s">
        <v>127</v>
      </c>
      <c r="D876" t="s">
        <v>138</v>
      </c>
      <c r="F876" t="s">
        <v>134</v>
      </c>
      <c r="G876" t="s">
        <v>101</v>
      </c>
    </row>
    <row r="877" spans="1:8" x14ac:dyDescent="0.35">
      <c r="A877" t="s">
        <v>124</v>
      </c>
      <c r="B877" s="35">
        <f>imports2!G75</f>
        <v>1.16401360225082E-9</v>
      </c>
      <c r="C877" t="s">
        <v>127</v>
      </c>
      <c r="D877" t="s">
        <v>138</v>
      </c>
      <c r="F877" t="s">
        <v>134</v>
      </c>
      <c r="G877" t="s">
        <v>102</v>
      </c>
    </row>
    <row r="880" spans="1:8" x14ac:dyDescent="0.35">
      <c r="A880" s="36" t="s">
        <v>19</v>
      </c>
      <c r="B880" s="35" t="s">
        <v>306</v>
      </c>
    </row>
    <row r="881" spans="1:8" x14ac:dyDescent="0.35">
      <c r="A881" t="s">
        <v>20</v>
      </c>
      <c r="B881" s="35">
        <v>1</v>
      </c>
    </row>
    <row r="882" spans="1:8" x14ac:dyDescent="0.35">
      <c r="A882" t="s">
        <v>21</v>
      </c>
      <c r="B882" s="35" t="s">
        <v>120</v>
      </c>
    </row>
    <row r="883" spans="1:8" x14ac:dyDescent="0.35">
      <c r="A883" t="s">
        <v>22</v>
      </c>
      <c r="B883" s="35" t="s">
        <v>151</v>
      </c>
    </row>
    <row r="884" spans="1:8" x14ac:dyDescent="0.35">
      <c r="A884" t="s">
        <v>23</v>
      </c>
      <c r="B884" s="35" t="s">
        <v>170</v>
      </c>
    </row>
    <row r="885" spans="1:8" x14ac:dyDescent="0.35">
      <c r="A885" t="s">
        <v>24</v>
      </c>
      <c r="B885" s="35" t="s">
        <v>119</v>
      </c>
    </row>
    <row r="886" spans="1:8" x14ac:dyDescent="0.35">
      <c r="A886" t="s">
        <v>25</v>
      </c>
      <c r="H886" t="s">
        <v>21</v>
      </c>
    </row>
    <row r="887" spans="1:8" x14ac:dyDescent="0.35">
      <c r="A887" t="s">
        <v>26</v>
      </c>
      <c r="B887" s="35" t="s">
        <v>27</v>
      </c>
      <c r="C887" t="s">
        <v>23</v>
      </c>
      <c r="D887" t="s">
        <v>24</v>
      </c>
      <c r="E887" t="s">
        <v>28</v>
      </c>
      <c r="F887" t="s">
        <v>29</v>
      </c>
      <c r="G887" t="s">
        <v>22</v>
      </c>
      <c r="H887" s="35" t="str">
        <f>B448</f>
        <v>RTE scenarios adapted from Ecoinvent - no background data altered</v>
      </c>
    </row>
    <row r="888" spans="1:8" x14ac:dyDescent="0.35">
      <c r="A888" s="35" t="str">
        <f>B880</f>
        <v xml:space="preserve">market for electricity, high voltage DE N1 </v>
      </c>
      <c r="B888" s="35">
        <v>1</v>
      </c>
      <c r="C888" t="s">
        <v>170</v>
      </c>
      <c r="D888" t="s">
        <v>119</v>
      </c>
      <c r="F888" t="s">
        <v>174</v>
      </c>
      <c r="G888" t="s">
        <v>151</v>
      </c>
      <c r="H888" t="s">
        <v>201</v>
      </c>
    </row>
    <row r="889" spans="1:8" x14ac:dyDescent="0.35">
      <c r="A889" s="35" t="str">
        <f>B880</f>
        <v xml:space="preserve">market for electricity, high voltage DE N1 </v>
      </c>
      <c r="B889" s="35">
        <v>2.1779170075109801E-2</v>
      </c>
      <c r="C889" t="s">
        <v>170</v>
      </c>
      <c r="D889" t="s">
        <v>119</v>
      </c>
      <c r="F889" t="s">
        <v>134</v>
      </c>
      <c r="G889" t="s">
        <v>151</v>
      </c>
    </row>
    <row r="890" spans="1:8" x14ac:dyDescent="0.35">
      <c r="A890" t="s">
        <v>195</v>
      </c>
      <c r="B890" s="35">
        <f>imports2!K6</f>
        <v>1.659558553020022E-2</v>
      </c>
      <c r="C890" t="s">
        <v>170</v>
      </c>
      <c r="D890" t="s">
        <v>119</v>
      </c>
      <c r="F890" t="s">
        <v>134</v>
      </c>
      <c r="G890" t="s">
        <v>151</v>
      </c>
    </row>
    <row r="891" spans="1:8" x14ac:dyDescent="0.35">
      <c r="A891" t="s">
        <v>97</v>
      </c>
      <c r="B891" s="35">
        <f>imports2!I8</f>
        <v>0.27054578589139044</v>
      </c>
      <c r="C891" t="s">
        <v>170</v>
      </c>
      <c r="D891" t="s">
        <v>119</v>
      </c>
      <c r="F891" t="s">
        <v>134</v>
      </c>
      <c r="G891" t="s">
        <v>151</v>
      </c>
    </row>
    <row r="892" spans="1:8" x14ac:dyDescent="0.35">
      <c r="A892" s="9" t="s">
        <v>131</v>
      </c>
      <c r="B892" s="35">
        <f>imports2!I7</f>
        <v>4.9312830192547452E-2</v>
      </c>
      <c r="C892" t="s">
        <v>170</v>
      </c>
      <c r="D892" t="s">
        <v>119</v>
      </c>
      <c r="F892" t="s">
        <v>134</v>
      </c>
      <c r="G892" t="s">
        <v>151</v>
      </c>
    </row>
    <row r="893" spans="1:8" x14ac:dyDescent="0.35">
      <c r="A893" t="s">
        <v>123</v>
      </c>
      <c r="B893" s="35">
        <f>imports2!I9</f>
        <v>2.9626981034993907E-2</v>
      </c>
      <c r="C893" t="s">
        <v>170</v>
      </c>
      <c r="D893" t="s">
        <v>119</v>
      </c>
      <c r="F893" t="s">
        <v>134</v>
      </c>
      <c r="G893" t="s">
        <v>151</v>
      </c>
    </row>
    <row r="894" spans="1:8" x14ac:dyDescent="0.35">
      <c r="A894" t="s">
        <v>96</v>
      </c>
      <c r="B894" s="35">
        <f>imports2!J6</f>
        <v>0.258390264249312</v>
      </c>
      <c r="C894" t="s">
        <v>170</v>
      </c>
      <c r="D894" t="s">
        <v>119</v>
      </c>
      <c r="F894" t="s">
        <v>134</v>
      </c>
      <c r="G894" t="s">
        <v>151</v>
      </c>
    </row>
    <row r="895" spans="1:8" x14ac:dyDescent="0.35">
      <c r="A895" s="10" t="s">
        <v>136</v>
      </c>
      <c r="B895" s="35">
        <f>imports2!L6</f>
        <v>0.10321602730126453</v>
      </c>
      <c r="C895" t="s">
        <v>170</v>
      </c>
      <c r="D895" t="s">
        <v>119</v>
      </c>
      <c r="F895" t="s">
        <v>134</v>
      </c>
      <c r="G895" t="s">
        <v>151</v>
      </c>
      <c r="H895" t="s">
        <v>198</v>
      </c>
    </row>
    <row r="896" spans="1:8" x14ac:dyDescent="0.35">
      <c r="A896" s="35" t="s">
        <v>333</v>
      </c>
      <c r="B896" s="35">
        <f>imports2!N6*imports2!Y3</f>
        <v>2.5669550461059169E-2</v>
      </c>
      <c r="C896" t="s">
        <v>31</v>
      </c>
      <c r="D896" t="s">
        <v>119</v>
      </c>
      <c r="F896" t="s">
        <v>134</v>
      </c>
      <c r="G896" t="s">
        <v>151</v>
      </c>
      <c r="H896" t="s">
        <v>216</v>
      </c>
    </row>
    <row r="897" spans="1:8" x14ac:dyDescent="0.35">
      <c r="A897" s="35" t="s">
        <v>156</v>
      </c>
      <c r="B897" s="35">
        <f>imports2!N6*imports2!Y7</f>
        <v>1.1019349007980479E-2</v>
      </c>
      <c r="C897" t="s">
        <v>130</v>
      </c>
      <c r="D897" t="s">
        <v>119</v>
      </c>
      <c r="F897" t="s">
        <v>134</v>
      </c>
      <c r="G897" t="s">
        <v>151</v>
      </c>
    </row>
    <row r="898" spans="1:8" x14ac:dyDescent="0.35">
      <c r="A898" s="35" t="s">
        <v>156</v>
      </c>
      <c r="B898" s="35">
        <f>imports2!$N$6*imports2!Y4</f>
        <v>5.0543178546670385E-3</v>
      </c>
      <c r="C898" t="s">
        <v>246</v>
      </c>
      <c r="D898" t="s">
        <v>119</v>
      </c>
      <c r="F898" t="s">
        <v>134</v>
      </c>
      <c r="G898" t="s">
        <v>151</v>
      </c>
    </row>
    <row r="899" spans="1:8" x14ac:dyDescent="0.35">
      <c r="A899" s="35" t="s">
        <v>156</v>
      </c>
      <c r="B899" s="35">
        <f>imports2!$N$6*imports2!Y5</f>
        <v>8.3089711736804503E-3</v>
      </c>
      <c r="C899" t="s">
        <v>247</v>
      </c>
      <c r="D899" t="s">
        <v>119</v>
      </c>
      <c r="F899" t="s">
        <v>134</v>
      </c>
      <c r="G899" t="s">
        <v>151</v>
      </c>
    </row>
    <row r="900" spans="1:8" x14ac:dyDescent="0.35">
      <c r="A900" s="35" t="s">
        <v>156</v>
      </c>
      <c r="B900" s="35">
        <f>imports2!$N$6*imports2!Y6</f>
        <v>3.2932901996355329E-5</v>
      </c>
      <c r="C900" t="s">
        <v>248</v>
      </c>
      <c r="D900" t="s">
        <v>119</v>
      </c>
      <c r="F900" t="s">
        <v>134</v>
      </c>
      <c r="G900" t="s">
        <v>151</v>
      </c>
    </row>
    <row r="901" spans="1:8" x14ac:dyDescent="0.35">
      <c r="A901" s="35" t="s">
        <v>156</v>
      </c>
      <c r="B901" s="35">
        <f>imports2!$N$6*imports2!Y8</f>
        <v>2.1966245631568995E-3</v>
      </c>
      <c r="C901" t="s">
        <v>249</v>
      </c>
      <c r="D901" t="s">
        <v>119</v>
      </c>
      <c r="F901" t="s">
        <v>134</v>
      </c>
      <c r="G901" t="s">
        <v>151</v>
      </c>
    </row>
    <row r="902" spans="1:8" x14ac:dyDescent="0.35">
      <c r="A902" s="35" t="s">
        <v>156</v>
      </c>
      <c r="B902" s="35">
        <f>imports2!$N$6*imports2!Y9</f>
        <v>8.0290415067114304E-3</v>
      </c>
      <c r="C902" t="s">
        <v>250</v>
      </c>
      <c r="D902" t="s">
        <v>119</v>
      </c>
      <c r="F902" t="s">
        <v>134</v>
      </c>
      <c r="G902" t="s">
        <v>151</v>
      </c>
    </row>
    <row r="903" spans="1:8" x14ac:dyDescent="0.35">
      <c r="A903" s="35" t="s">
        <v>156</v>
      </c>
      <c r="B903" s="35">
        <f>imports2!$N$6*imports2!Y10</f>
        <v>5.6726923688722062E-3</v>
      </c>
      <c r="C903" t="s">
        <v>251</v>
      </c>
      <c r="D903" t="s">
        <v>119</v>
      </c>
      <c r="F903" t="s">
        <v>134</v>
      </c>
      <c r="G903" t="s">
        <v>151</v>
      </c>
      <c r="H903" t="s">
        <v>200</v>
      </c>
    </row>
    <row r="904" spans="1:8" x14ac:dyDescent="0.35">
      <c r="A904" s="35" t="str">
        <f>A889</f>
        <v xml:space="preserve">market for electricity, high voltage DE N1 </v>
      </c>
      <c r="B904" s="35">
        <f>imports2!M6*1.5</f>
        <v>4.567915761376859E-2</v>
      </c>
      <c r="C904" t="s">
        <v>170</v>
      </c>
      <c r="D904" t="s">
        <v>119</v>
      </c>
      <c r="F904" t="s">
        <v>134</v>
      </c>
      <c r="G904" t="s">
        <v>151</v>
      </c>
    </row>
    <row r="905" spans="1:8" x14ac:dyDescent="0.35">
      <c r="A905" t="s">
        <v>122</v>
      </c>
      <c r="B905" s="35">
        <f>imports2!H7</f>
        <v>2.8781564673414417E-2</v>
      </c>
      <c r="C905" t="s">
        <v>170</v>
      </c>
      <c r="D905" t="s">
        <v>119</v>
      </c>
      <c r="F905" t="s">
        <v>134</v>
      </c>
      <c r="G905" t="s">
        <v>152</v>
      </c>
    </row>
    <row r="906" spans="1:8" x14ac:dyDescent="0.35">
      <c r="A906" t="s">
        <v>121</v>
      </c>
      <c r="B906" s="35">
        <f>imports2!H8</f>
        <v>3.5844168946948626E-2</v>
      </c>
      <c r="C906" t="s">
        <v>170</v>
      </c>
      <c r="D906" t="s">
        <v>119</v>
      </c>
      <c r="F906" t="s">
        <v>134</v>
      </c>
      <c r="G906" t="s">
        <v>152</v>
      </c>
    </row>
    <row r="907" spans="1:8" x14ac:dyDescent="0.35">
      <c r="A907" t="s">
        <v>133</v>
      </c>
      <c r="B907" s="35">
        <f>imports2!H9</f>
        <v>0.11125054059929187</v>
      </c>
      <c r="C907" t="s">
        <v>170</v>
      </c>
      <c r="D907" t="s">
        <v>119</v>
      </c>
      <c r="F907" t="s">
        <v>134</v>
      </c>
      <c r="G907" t="s">
        <v>152</v>
      </c>
    </row>
    <row r="908" spans="1:8" x14ac:dyDescent="0.35">
      <c r="A908" t="s">
        <v>125</v>
      </c>
      <c r="B908" s="35">
        <f>imports2!S10</f>
        <v>2.1621783573657501E-9</v>
      </c>
      <c r="C908" t="s">
        <v>127</v>
      </c>
      <c r="D908" t="s">
        <v>138</v>
      </c>
      <c r="F908" t="s">
        <v>134</v>
      </c>
      <c r="G908" t="s">
        <v>101</v>
      </c>
    </row>
    <row r="911" spans="1:8" x14ac:dyDescent="0.35">
      <c r="A911" s="36" t="s">
        <v>19</v>
      </c>
      <c r="B911" s="35" t="s">
        <v>305</v>
      </c>
    </row>
    <row r="912" spans="1:8" x14ac:dyDescent="0.35">
      <c r="A912" t="s">
        <v>20</v>
      </c>
      <c r="B912" s="35">
        <v>1</v>
      </c>
    </row>
    <row r="913" spans="1:8" x14ac:dyDescent="0.35">
      <c r="A913" t="s">
        <v>21</v>
      </c>
      <c r="B913" s="35" t="s">
        <v>120</v>
      </c>
    </row>
    <row r="914" spans="1:8" x14ac:dyDescent="0.35">
      <c r="A914" t="s">
        <v>22</v>
      </c>
      <c r="B914" s="35" t="s">
        <v>151</v>
      </c>
    </row>
    <row r="915" spans="1:8" x14ac:dyDescent="0.35">
      <c r="A915" t="s">
        <v>23</v>
      </c>
      <c r="B915" s="35" t="s">
        <v>169</v>
      </c>
    </row>
    <row r="916" spans="1:8" x14ac:dyDescent="0.35">
      <c r="A916" t="s">
        <v>24</v>
      </c>
      <c r="B916" s="35" t="s">
        <v>119</v>
      </c>
    </row>
    <row r="917" spans="1:8" x14ac:dyDescent="0.35">
      <c r="A917" t="s">
        <v>25</v>
      </c>
      <c r="H917" t="s">
        <v>21</v>
      </c>
    </row>
    <row r="918" spans="1:8" x14ac:dyDescent="0.35">
      <c r="A918" t="s">
        <v>26</v>
      </c>
      <c r="B918" s="35" t="s">
        <v>27</v>
      </c>
      <c r="C918" t="s">
        <v>23</v>
      </c>
      <c r="D918" t="s">
        <v>24</v>
      </c>
      <c r="E918" t="s">
        <v>28</v>
      </c>
      <c r="F918" t="s">
        <v>29</v>
      </c>
      <c r="G918" t="s">
        <v>22</v>
      </c>
      <c r="H918" s="35" t="str">
        <f>B479</f>
        <v>RTE scenarios adapted from Ecoinvent - no background data altered</v>
      </c>
    </row>
    <row r="919" spans="1:8" x14ac:dyDescent="0.35">
      <c r="A919" s="35" t="str">
        <f>B911</f>
        <v xml:space="preserve">market for electricity, high voltage GB N1 </v>
      </c>
      <c r="B919" s="35">
        <v>1</v>
      </c>
      <c r="C919" t="s">
        <v>169</v>
      </c>
      <c r="D919" t="s">
        <v>119</v>
      </c>
      <c r="F919" t="s">
        <v>174</v>
      </c>
      <c r="G919" t="s">
        <v>151</v>
      </c>
      <c r="H919" t="s">
        <v>201</v>
      </c>
    </row>
    <row r="920" spans="1:8" x14ac:dyDescent="0.35">
      <c r="A920" s="35" t="str">
        <f>B911</f>
        <v xml:space="preserve">market for electricity, high voltage GB N1 </v>
      </c>
      <c r="B920" s="35">
        <v>3.26941222043741E-2</v>
      </c>
      <c r="C920" t="s">
        <v>169</v>
      </c>
      <c r="D920" t="s">
        <v>119</v>
      </c>
      <c r="F920" t="s">
        <v>134</v>
      </c>
      <c r="G920" t="s">
        <v>151</v>
      </c>
    </row>
    <row r="921" spans="1:8" x14ac:dyDescent="0.35">
      <c r="A921" t="s">
        <v>132</v>
      </c>
      <c r="B921" s="35">
        <f>imports2!G19</f>
        <v>1.3243315951176915E-2</v>
      </c>
      <c r="C921" t="s">
        <v>169</v>
      </c>
      <c r="D921" t="s">
        <v>119</v>
      </c>
      <c r="F921" t="s">
        <v>134</v>
      </c>
      <c r="G921" t="s">
        <v>151</v>
      </c>
    </row>
    <row r="922" spans="1:8" x14ac:dyDescent="0.35">
      <c r="A922" t="s">
        <v>199</v>
      </c>
      <c r="B922" s="35">
        <f>imports2!G18</f>
        <v>8.9405658518934977E-2</v>
      </c>
      <c r="C922" t="s">
        <v>169</v>
      </c>
      <c r="D922" t="s">
        <v>119</v>
      </c>
      <c r="F922" t="s">
        <v>134</v>
      </c>
      <c r="G922" t="s">
        <v>151</v>
      </c>
    </row>
    <row r="923" spans="1:8" x14ac:dyDescent="0.35">
      <c r="A923" t="s">
        <v>92</v>
      </c>
      <c r="B923" s="35">
        <f>imports2!K17</f>
        <v>3.8125908706551755E-2</v>
      </c>
      <c r="C923" t="s">
        <v>169</v>
      </c>
      <c r="D923" t="s">
        <v>119</v>
      </c>
      <c r="F923" t="s">
        <v>134</v>
      </c>
      <c r="G923" t="s">
        <v>151</v>
      </c>
    </row>
    <row r="924" spans="1:8" x14ac:dyDescent="0.35">
      <c r="A924" t="s">
        <v>97</v>
      </c>
      <c r="B924" s="35">
        <f>imports2!I20</f>
        <v>1.367831651297859E-2</v>
      </c>
      <c r="C924" t="s">
        <v>169</v>
      </c>
      <c r="D924" t="s">
        <v>119</v>
      </c>
      <c r="F924" t="s">
        <v>134</v>
      </c>
      <c r="G924" t="s">
        <v>151</v>
      </c>
    </row>
    <row r="925" spans="1:8" x14ac:dyDescent="0.35">
      <c r="A925" s="9" t="s">
        <v>131</v>
      </c>
      <c r="B925" s="35">
        <f>imports2!I18</f>
        <v>1.6512085966431005E-3</v>
      </c>
      <c r="C925" t="s">
        <v>169</v>
      </c>
      <c r="D925" t="s">
        <v>119</v>
      </c>
      <c r="F925" t="s">
        <v>134</v>
      </c>
      <c r="G925" t="s">
        <v>151</v>
      </c>
    </row>
    <row r="926" spans="1:8" x14ac:dyDescent="0.35">
      <c r="A926" t="s">
        <v>123</v>
      </c>
      <c r="B926" s="35">
        <f>imports2!I19</f>
        <v>9.6100156529368226E-4</v>
      </c>
      <c r="C926" t="s">
        <v>169</v>
      </c>
      <c r="D926" t="s">
        <v>119</v>
      </c>
      <c r="F926" t="s">
        <v>134</v>
      </c>
      <c r="G926" t="s">
        <v>151</v>
      </c>
    </row>
    <row r="927" spans="1:8" x14ac:dyDescent="0.35">
      <c r="A927" t="s">
        <v>96</v>
      </c>
      <c r="B927" s="35">
        <f>imports2!J17</f>
        <v>0.29280430490324977</v>
      </c>
      <c r="C927" t="s">
        <v>169</v>
      </c>
      <c r="D927" t="s">
        <v>119</v>
      </c>
      <c r="F927" t="s">
        <v>134</v>
      </c>
      <c r="G927" t="s">
        <v>151</v>
      </c>
    </row>
    <row r="928" spans="1:8" x14ac:dyDescent="0.35">
      <c r="A928" s="10" t="s">
        <v>136</v>
      </c>
      <c r="B928" s="35">
        <f>imports2!L17</f>
        <v>7.8769276726965903E-2</v>
      </c>
      <c r="C928" t="s">
        <v>169</v>
      </c>
      <c r="D928" t="s">
        <v>119</v>
      </c>
      <c r="F928" t="s">
        <v>134</v>
      </c>
      <c r="G928" t="s">
        <v>151</v>
      </c>
      <c r="H928" t="s">
        <v>200</v>
      </c>
    </row>
    <row r="929" spans="1:8" x14ac:dyDescent="0.35">
      <c r="A929" s="35" t="str">
        <f>A920</f>
        <v xml:space="preserve">market for electricity, high voltage GB N1 </v>
      </c>
      <c r="B929" s="35">
        <f>imports2!M17*1.5</f>
        <v>1.2432875805039075E-2</v>
      </c>
      <c r="C929" t="s">
        <v>169</v>
      </c>
      <c r="D929" t="s">
        <v>119</v>
      </c>
      <c r="F929" t="s">
        <v>134</v>
      </c>
      <c r="G929" t="s">
        <v>151</v>
      </c>
    </row>
    <row r="930" spans="1:8" x14ac:dyDescent="0.35">
      <c r="A930" t="s">
        <v>122</v>
      </c>
      <c r="B930" s="35">
        <f>imports2!H18</f>
        <v>9.6093041262761917E-3</v>
      </c>
      <c r="C930" t="s">
        <v>169</v>
      </c>
      <c r="D930" t="s">
        <v>119</v>
      </c>
      <c r="F930" t="s">
        <v>134</v>
      </c>
      <c r="G930" t="s">
        <v>152</v>
      </c>
    </row>
    <row r="931" spans="1:8" x14ac:dyDescent="0.35">
      <c r="A931" t="s">
        <v>121</v>
      </c>
      <c r="B931" s="35">
        <f>imports2!H19</f>
        <v>1.1986863908132712E-2</v>
      </c>
      <c r="C931" t="s">
        <v>169</v>
      </c>
      <c r="D931" t="s">
        <v>119</v>
      </c>
      <c r="F931" t="s">
        <v>134</v>
      </c>
      <c r="G931" t="s">
        <v>152</v>
      </c>
    </row>
    <row r="932" spans="1:8" x14ac:dyDescent="0.35">
      <c r="A932" t="s">
        <v>133</v>
      </c>
      <c r="B932" s="35">
        <f>imports2!H20</f>
        <v>4.1921001991008532E-2</v>
      </c>
      <c r="C932" t="s">
        <v>169</v>
      </c>
      <c r="D932" t="s">
        <v>119</v>
      </c>
      <c r="F932" t="s">
        <v>134</v>
      </c>
      <c r="G932" t="s">
        <v>152</v>
      </c>
    </row>
    <row r="933" spans="1:8" x14ac:dyDescent="0.35">
      <c r="A933" t="s">
        <v>125</v>
      </c>
      <c r="B933" s="35">
        <f>imports2!R22</f>
        <v>2.1670778390046501E-9</v>
      </c>
      <c r="C933" t="s">
        <v>127</v>
      </c>
      <c r="D933" t="s">
        <v>138</v>
      </c>
      <c r="F933" t="s">
        <v>134</v>
      </c>
      <c r="G933" t="s">
        <v>101</v>
      </c>
    </row>
    <row r="934" spans="1:8" x14ac:dyDescent="0.35">
      <c r="A934" t="s">
        <v>124</v>
      </c>
      <c r="B934" s="35">
        <f>imports2!R23</f>
        <v>1.4192813639264101E-10</v>
      </c>
      <c r="C934" t="s">
        <v>127</v>
      </c>
      <c r="D934" t="s">
        <v>138</v>
      </c>
      <c r="F934" t="s">
        <v>134</v>
      </c>
      <c r="G934" t="s">
        <v>102</v>
      </c>
    </row>
    <row r="935" spans="1:8" x14ac:dyDescent="0.35">
      <c r="A935" t="s">
        <v>157</v>
      </c>
      <c r="B935" s="35">
        <f>imports2!R24</f>
        <v>2.6965250167450102E-10</v>
      </c>
      <c r="C935" t="s">
        <v>127</v>
      </c>
      <c r="D935" t="s">
        <v>138</v>
      </c>
      <c r="F935" t="s">
        <v>134</v>
      </c>
      <c r="G935" t="s">
        <v>103</v>
      </c>
    </row>
    <row r="937" spans="1:8" x14ac:dyDescent="0.35">
      <c r="A937" s="36" t="s">
        <v>19</v>
      </c>
      <c r="B937" s="35" t="s">
        <v>304</v>
      </c>
    </row>
    <row r="938" spans="1:8" x14ac:dyDescent="0.35">
      <c r="A938" t="s">
        <v>20</v>
      </c>
      <c r="B938" s="35">
        <v>1</v>
      </c>
    </row>
    <row r="939" spans="1:8" x14ac:dyDescent="0.35">
      <c r="A939" t="s">
        <v>21</v>
      </c>
      <c r="B939" s="35" t="s">
        <v>120</v>
      </c>
    </row>
    <row r="940" spans="1:8" x14ac:dyDescent="0.35">
      <c r="A940" t="s">
        <v>22</v>
      </c>
      <c r="B940" s="35" t="s">
        <v>151</v>
      </c>
    </row>
    <row r="941" spans="1:8" x14ac:dyDescent="0.35">
      <c r="A941" t="s">
        <v>23</v>
      </c>
      <c r="B941" s="35" t="s">
        <v>168</v>
      </c>
    </row>
    <row r="942" spans="1:8" x14ac:dyDescent="0.35">
      <c r="A942" t="s">
        <v>24</v>
      </c>
      <c r="B942" s="35" t="s">
        <v>119</v>
      </c>
    </row>
    <row r="943" spans="1:8" x14ac:dyDescent="0.35">
      <c r="A943" t="s">
        <v>25</v>
      </c>
      <c r="H943" t="s">
        <v>21</v>
      </c>
    </row>
    <row r="944" spans="1:8" x14ac:dyDescent="0.35">
      <c r="A944" t="s">
        <v>26</v>
      </c>
      <c r="B944" s="35" t="s">
        <v>27</v>
      </c>
      <c r="C944" t="s">
        <v>23</v>
      </c>
      <c r="D944" t="s">
        <v>24</v>
      </c>
      <c r="E944" t="s">
        <v>28</v>
      </c>
      <c r="F944" t="s">
        <v>29</v>
      </c>
      <c r="G944" t="s">
        <v>22</v>
      </c>
      <c r="H944" s="35" t="str">
        <f>B506</f>
        <v>RTE scenarios adapted from Ecoinvent - no background data altered</v>
      </c>
    </row>
    <row r="945" spans="1:8" x14ac:dyDescent="0.35">
      <c r="A945" s="35" t="str">
        <f>B937</f>
        <v xml:space="preserve">market for electricity, high voltage IT N1 </v>
      </c>
      <c r="B945" s="35">
        <v>1</v>
      </c>
      <c r="C945" t="s">
        <v>168</v>
      </c>
      <c r="D945" t="s">
        <v>119</v>
      </c>
      <c r="F945" t="s">
        <v>174</v>
      </c>
      <c r="G945" t="s">
        <v>151</v>
      </c>
      <c r="H945" t="s">
        <v>201</v>
      </c>
    </row>
    <row r="946" spans="1:8" x14ac:dyDescent="0.35">
      <c r="A946" s="35" t="str">
        <f>B937</f>
        <v xml:space="preserve">market for electricity, high voltage IT N1 </v>
      </c>
      <c r="B946" s="35">
        <v>2.3357870144476399E-2</v>
      </c>
      <c r="C946" t="s">
        <v>168</v>
      </c>
      <c r="D946" t="s">
        <v>119</v>
      </c>
      <c r="F946" t="s">
        <v>134</v>
      </c>
      <c r="G946" t="s">
        <v>151</v>
      </c>
    </row>
    <row r="947" spans="1:8" x14ac:dyDescent="0.35">
      <c r="A947" t="s">
        <v>92</v>
      </c>
      <c r="B947" s="35">
        <f>imports2!K29</f>
        <v>1.7085942625630911E-2</v>
      </c>
      <c r="C947" t="s">
        <v>168</v>
      </c>
      <c r="D947" t="s">
        <v>119</v>
      </c>
      <c r="F947" t="s">
        <v>134</v>
      </c>
      <c r="G947" t="s">
        <v>151</v>
      </c>
    </row>
    <row r="948" spans="1:8" x14ac:dyDescent="0.35">
      <c r="A948" t="s">
        <v>91</v>
      </c>
      <c r="B948" s="35">
        <f>imports2!K30</f>
        <v>3.0376022688869929E-2</v>
      </c>
      <c r="C948" t="s">
        <v>168</v>
      </c>
      <c r="D948" t="s">
        <v>119</v>
      </c>
      <c r="F948" t="s">
        <v>134</v>
      </c>
      <c r="G948" t="s">
        <v>151</v>
      </c>
    </row>
    <row r="949" spans="1:8" x14ac:dyDescent="0.35">
      <c r="A949" t="s">
        <v>97</v>
      </c>
      <c r="B949" s="35">
        <f>imports2!I31</f>
        <v>4.911004801215172E-2</v>
      </c>
      <c r="C949" t="s">
        <v>168</v>
      </c>
      <c r="D949" t="s">
        <v>119</v>
      </c>
      <c r="F949" t="s">
        <v>134</v>
      </c>
      <c r="G949" t="s">
        <v>151</v>
      </c>
    </row>
    <row r="950" spans="1:8" x14ac:dyDescent="0.35">
      <c r="A950" s="9" t="s">
        <v>131</v>
      </c>
      <c r="B950" s="35">
        <f>imports2!I30</f>
        <v>2.1734444785016883E-2</v>
      </c>
      <c r="C950" t="s">
        <v>168</v>
      </c>
      <c r="D950" t="s">
        <v>119</v>
      </c>
      <c r="F950" t="s">
        <v>134</v>
      </c>
      <c r="G950" t="s">
        <v>151</v>
      </c>
    </row>
    <row r="951" spans="1:8" x14ac:dyDescent="0.35">
      <c r="A951" t="s">
        <v>123</v>
      </c>
      <c r="B951" s="35">
        <f>imports2!I29</f>
        <v>6.6363535802902293E-3</v>
      </c>
      <c r="C951" t="s">
        <v>168</v>
      </c>
      <c r="D951" t="s">
        <v>119</v>
      </c>
      <c r="F951" t="s">
        <v>134</v>
      </c>
      <c r="G951" t="s">
        <v>151</v>
      </c>
      <c r="H951" t="s">
        <v>223</v>
      </c>
    </row>
    <row r="952" spans="1:8" x14ac:dyDescent="0.35">
      <c r="A952" t="s">
        <v>96</v>
      </c>
      <c r="B952" s="35">
        <f>imports2!J28</f>
        <v>4.0763714178789885E-2</v>
      </c>
      <c r="C952" t="s">
        <v>171</v>
      </c>
      <c r="D952" t="s">
        <v>119</v>
      </c>
      <c r="F952" t="s">
        <v>134</v>
      </c>
      <c r="G952" t="s">
        <v>151</v>
      </c>
    </row>
    <row r="953" spans="1:8" x14ac:dyDescent="0.35">
      <c r="A953" s="10" t="s">
        <v>136</v>
      </c>
      <c r="B953" s="35">
        <f>imports2!L28</f>
        <v>5.390249870409735E-2</v>
      </c>
      <c r="C953" t="s">
        <v>168</v>
      </c>
      <c r="D953" t="s">
        <v>119</v>
      </c>
      <c r="F953" t="s">
        <v>134</v>
      </c>
      <c r="G953" t="s">
        <v>151</v>
      </c>
      <c r="H953" t="s">
        <v>198</v>
      </c>
    </row>
    <row r="954" spans="1:8" x14ac:dyDescent="0.35">
      <c r="A954" s="35" t="s">
        <v>334</v>
      </c>
      <c r="B954" s="35">
        <f>imports2!N28*imports2!Y27</f>
        <v>1.4820330291191916E-2</v>
      </c>
      <c r="C954" t="s">
        <v>31</v>
      </c>
      <c r="D954" t="s">
        <v>119</v>
      </c>
      <c r="F954" t="s">
        <v>134</v>
      </c>
      <c r="G954" t="s">
        <v>151</v>
      </c>
    </row>
    <row r="955" spans="1:8" x14ac:dyDescent="0.35">
      <c r="A955" s="35" t="s">
        <v>156</v>
      </c>
      <c r="B955" s="35">
        <f>imports2!N28*imports2!Y28</f>
        <v>2.1576405759772908E-2</v>
      </c>
      <c r="C955" t="s">
        <v>130</v>
      </c>
      <c r="D955" t="s">
        <v>119</v>
      </c>
      <c r="F955" t="s">
        <v>134</v>
      </c>
      <c r="G955" t="s">
        <v>151</v>
      </c>
    </row>
    <row r="956" spans="1:8" x14ac:dyDescent="0.35">
      <c r="A956" s="35" t="s">
        <v>156</v>
      </c>
      <c r="B956" s="35">
        <f>imports2!$N$28*imports2!Y26</f>
        <v>3.6185874731225807E-5</v>
      </c>
      <c r="C956" t="s">
        <v>252</v>
      </c>
      <c r="D956" t="s">
        <v>119</v>
      </c>
      <c r="F956" t="s">
        <v>134</v>
      </c>
      <c r="G956" t="s">
        <v>151</v>
      </c>
    </row>
    <row r="957" spans="1:8" x14ac:dyDescent="0.35">
      <c r="A957" s="35" t="s">
        <v>156</v>
      </c>
      <c r="B957" s="35">
        <f>imports2!$N$28*imports2!Y29</f>
        <v>1.8967884634918721E-5</v>
      </c>
      <c r="C957" t="s">
        <v>253</v>
      </c>
      <c r="D957" t="s">
        <v>119</v>
      </c>
      <c r="F957" t="s">
        <v>134</v>
      </c>
      <c r="G957" t="s">
        <v>151</v>
      </c>
    </row>
    <row r="958" spans="1:8" x14ac:dyDescent="0.35">
      <c r="A958" s="35" t="s">
        <v>156</v>
      </c>
      <c r="B958" s="35">
        <f>imports2!$N$28*imports2!Y30</f>
        <v>1.1946559180011354E-3</v>
      </c>
      <c r="C958" t="s">
        <v>250</v>
      </c>
      <c r="D958" t="s">
        <v>119</v>
      </c>
      <c r="F958" t="s">
        <v>134</v>
      </c>
      <c r="G958" t="s">
        <v>151</v>
      </c>
    </row>
    <row r="959" spans="1:8" x14ac:dyDescent="0.35">
      <c r="A959" s="35" t="s">
        <v>156</v>
      </c>
      <c r="B959" s="35">
        <f>imports2!$N$28*imports2!Y31</f>
        <v>5.0490465410198034E-3</v>
      </c>
      <c r="C959" t="s">
        <v>254</v>
      </c>
      <c r="D959" t="s">
        <v>119</v>
      </c>
      <c r="F959" t="s">
        <v>134</v>
      </c>
      <c r="G959" t="s">
        <v>151</v>
      </c>
    </row>
    <row r="960" spans="1:8" x14ac:dyDescent="0.35">
      <c r="A960" s="35" t="s">
        <v>156</v>
      </c>
      <c r="B960" s="35">
        <f>imports2!$N$28*imports2!Y32</f>
        <v>5.5245142747605271E-5</v>
      </c>
      <c r="C960" t="s">
        <v>255</v>
      </c>
      <c r="D960" t="s">
        <v>119</v>
      </c>
      <c r="F960" t="s">
        <v>134</v>
      </c>
      <c r="G960" t="s">
        <v>151</v>
      </c>
      <c r="H960" t="s">
        <v>200</v>
      </c>
    </row>
    <row r="961" spans="1:8" x14ac:dyDescent="0.35">
      <c r="A961" s="35" t="str">
        <f>A946</f>
        <v xml:space="preserve">market for electricity, high voltage IT N1 </v>
      </c>
      <c r="B961" s="35">
        <f>imports2!M28*1.5</f>
        <v>7.4210092933762087E-2</v>
      </c>
      <c r="C961" t="s">
        <v>168</v>
      </c>
      <c r="D961" t="s">
        <v>119</v>
      </c>
      <c r="F961" t="s">
        <v>134</v>
      </c>
      <c r="G961" t="s">
        <v>151</v>
      </c>
    </row>
    <row r="962" spans="1:8" x14ac:dyDescent="0.35">
      <c r="A962" t="s">
        <v>122</v>
      </c>
      <c r="B962" s="35">
        <f>imports2!H29</f>
        <v>5.9591618739746291E-2</v>
      </c>
      <c r="C962" t="s">
        <v>168</v>
      </c>
      <c r="D962" t="s">
        <v>119</v>
      </c>
      <c r="F962" t="s">
        <v>134</v>
      </c>
      <c r="G962" t="s">
        <v>152</v>
      </c>
    </row>
    <row r="963" spans="1:8" x14ac:dyDescent="0.35">
      <c r="A963" t="s">
        <v>121</v>
      </c>
      <c r="B963" s="35">
        <f>imports2!H30</f>
        <v>7.4214590977489642E-2</v>
      </c>
      <c r="C963" t="s">
        <v>168</v>
      </c>
      <c r="D963" t="s">
        <v>119</v>
      </c>
      <c r="F963" t="s">
        <v>134</v>
      </c>
      <c r="G963" t="s">
        <v>152</v>
      </c>
    </row>
    <row r="964" spans="1:8" x14ac:dyDescent="0.35">
      <c r="A964" t="s">
        <v>133</v>
      </c>
      <c r="B964" s="35">
        <f>imports2!H31</f>
        <v>0.23034188291046737</v>
      </c>
      <c r="C964" t="s">
        <v>168</v>
      </c>
      <c r="D964" t="s">
        <v>119</v>
      </c>
      <c r="F964" t="s">
        <v>134</v>
      </c>
      <c r="G964" t="s">
        <v>152</v>
      </c>
    </row>
    <row r="965" spans="1:8" x14ac:dyDescent="0.35">
      <c r="A965" t="s">
        <v>125</v>
      </c>
      <c r="B965" s="35">
        <f>imports2!R33</f>
        <v>6.6544044844740601E-9</v>
      </c>
      <c r="C965" t="s">
        <v>127</v>
      </c>
      <c r="D965" t="s">
        <v>138</v>
      </c>
      <c r="F965" t="s">
        <v>134</v>
      </c>
      <c r="G965" t="s">
        <v>101</v>
      </c>
    </row>
    <row r="966" spans="1:8" x14ac:dyDescent="0.35">
      <c r="A966" t="s">
        <v>124</v>
      </c>
      <c r="B966" s="35">
        <f>imports2!R34</f>
        <v>1.9648610168655699E-10</v>
      </c>
      <c r="C966" t="s">
        <v>127</v>
      </c>
      <c r="D966" t="s">
        <v>138</v>
      </c>
      <c r="F966" t="s">
        <v>134</v>
      </c>
      <c r="G966" t="s">
        <v>102</v>
      </c>
    </row>
    <row r="967" spans="1:8" x14ac:dyDescent="0.35">
      <c r="A967" t="s">
        <v>157</v>
      </c>
      <c r="B967" s="35">
        <f>imports2!R35</f>
        <v>1.6557078487408601E-10</v>
      </c>
      <c r="C967" t="s">
        <v>127</v>
      </c>
      <c r="D967" t="s">
        <v>138</v>
      </c>
      <c r="F967" t="s">
        <v>134</v>
      </c>
      <c r="G967" t="s">
        <v>103</v>
      </c>
    </row>
    <row r="969" spans="1:8" x14ac:dyDescent="0.35">
      <c r="A969" s="36" t="s">
        <v>19</v>
      </c>
      <c r="B969" s="35" t="s">
        <v>308</v>
      </c>
    </row>
    <row r="970" spans="1:8" x14ac:dyDescent="0.35">
      <c r="A970" t="s">
        <v>20</v>
      </c>
      <c r="B970" s="35">
        <v>1</v>
      </c>
    </row>
    <row r="971" spans="1:8" x14ac:dyDescent="0.35">
      <c r="A971" t="s">
        <v>21</v>
      </c>
      <c r="B971" s="35" t="s">
        <v>120</v>
      </c>
    </row>
    <row r="972" spans="1:8" x14ac:dyDescent="0.35">
      <c r="A972" t="s">
        <v>22</v>
      </c>
      <c r="B972" s="35" t="s">
        <v>151</v>
      </c>
    </row>
    <row r="973" spans="1:8" x14ac:dyDescent="0.35">
      <c r="A973" t="s">
        <v>23</v>
      </c>
      <c r="B973" s="35" t="s">
        <v>171</v>
      </c>
    </row>
    <row r="974" spans="1:8" x14ac:dyDescent="0.35">
      <c r="A974" t="s">
        <v>24</v>
      </c>
      <c r="B974" s="35" t="s">
        <v>119</v>
      </c>
    </row>
    <row r="975" spans="1:8" x14ac:dyDescent="0.35">
      <c r="A975" t="s">
        <v>25</v>
      </c>
      <c r="H975" t="s">
        <v>21</v>
      </c>
    </row>
    <row r="976" spans="1:8" x14ac:dyDescent="0.35">
      <c r="A976" t="s">
        <v>26</v>
      </c>
      <c r="B976" s="35" t="s">
        <v>27</v>
      </c>
      <c r="C976" t="s">
        <v>23</v>
      </c>
      <c r="D976" t="s">
        <v>24</v>
      </c>
      <c r="E976" t="s">
        <v>28</v>
      </c>
      <c r="F976" t="s">
        <v>29</v>
      </c>
      <c r="G976" t="s">
        <v>22</v>
      </c>
      <c r="H976" s="35" t="str">
        <f>B538</f>
        <v>RTE scenarios adapted from Ecoinvent - no background data altered</v>
      </c>
    </row>
    <row r="977" spans="1:8" x14ac:dyDescent="0.35">
      <c r="A977" s="35" t="str">
        <f>B969</f>
        <v xml:space="preserve">market for electricity, high voltage ES N1 </v>
      </c>
      <c r="B977" s="35">
        <v>1</v>
      </c>
      <c r="C977" t="s">
        <v>171</v>
      </c>
      <c r="D977" t="s">
        <v>119</v>
      </c>
      <c r="F977" t="s">
        <v>174</v>
      </c>
      <c r="G977" t="s">
        <v>151</v>
      </c>
      <c r="H977" t="s">
        <v>201</v>
      </c>
    </row>
    <row r="978" spans="1:8" x14ac:dyDescent="0.35">
      <c r="A978" s="35" t="str">
        <f>B969</f>
        <v xml:space="preserve">market for electricity, high voltage ES N1 </v>
      </c>
      <c r="B978" s="35">
        <v>3.7364253070203898E-2</v>
      </c>
      <c r="C978" t="s">
        <v>171</v>
      </c>
      <c r="D978" t="s">
        <v>119</v>
      </c>
      <c r="F978" t="s">
        <v>134</v>
      </c>
      <c r="G978" t="s">
        <v>151</v>
      </c>
    </row>
    <row r="979" spans="1:8" x14ac:dyDescent="0.35">
      <c r="A979" t="s">
        <v>92</v>
      </c>
      <c r="B979" s="35">
        <f>imports2!K40</f>
        <v>2.3717975097580838E-2</v>
      </c>
      <c r="C979" t="s">
        <v>171</v>
      </c>
      <c r="D979" t="s">
        <v>119</v>
      </c>
      <c r="F979" t="s">
        <v>134</v>
      </c>
      <c r="G979" t="s">
        <v>151</v>
      </c>
    </row>
    <row r="980" spans="1:8" x14ac:dyDescent="0.35">
      <c r="A980" t="s">
        <v>195</v>
      </c>
      <c r="B980" s="35">
        <f>imports2!K41</f>
        <v>1.2218119891210072E-2</v>
      </c>
      <c r="C980" t="s">
        <v>171</v>
      </c>
      <c r="D980" t="s">
        <v>119</v>
      </c>
      <c r="F980" t="s">
        <v>134</v>
      </c>
      <c r="G980" t="s">
        <v>151</v>
      </c>
    </row>
    <row r="981" spans="1:8" x14ac:dyDescent="0.35">
      <c r="A981" t="s">
        <v>97</v>
      </c>
      <c r="B981" s="35">
        <f>imports2!I40</f>
        <v>0.11161447551055156</v>
      </c>
      <c r="C981" t="s">
        <v>171</v>
      </c>
      <c r="D981" t="s">
        <v>119</v>
      </c>
      <c r="F981" t="s">
        <v>134</v>
      </c>
      <c r="G981" t="s">
        <v>151</v>
      </c>
    </row>
    <row r="982" spans="1:8" x14ac:dyDescent="0.35">
      <c r="A982" s="9" t="s">
        <v>131</v>
      </c>
      <c r="B982" s="35">
        <f>imports2!I42</f>
        <v>6.1438480972824956E-2</v>
      </c>
      <c r="C982" t="s">
        <v>171</v>
      </c>
      <c r="D982" t="s">
        <v>119</v>
      </c>
      <c r="F982" t="s">
        <v>134</v>
      </c>
      <c r="G982" t="s">
        <v>151</v>
      </c>
    </row>
    <row r="983" spans="1:8" x14ac:dyDescent="0.35">
      <c r="A983" t="s">
        <v>123</v>
      </c>
      <c r="B983" s="35">
        <f>imports2!I41</f>
        <v>2.9638127672880423E-4</v>
      </c>
      <c r="C983" t="s">
        <v>171</v>
      </c>
      <c r="D983" t="s">
        <v>119</v>
      </c>
      <c r="F983" t="s">
        <v>134</v>
      </c>
      <c r="G983" t="s">
        <v>151</v>
      </c>
    </row>
    <row r="984" spans="1:8" x14ac:dyDescent="0.35">
      <c r="A984" t="s">
        <v>96</v>
      </c>
      <c r="B984" s="35">
        <f>imports2!J39</f>
        <v>2.8120899537284662E-2</v>
      </c>
      <c r="C984" t="s">
        <v>171</v>
      </c>
      <c r="D984" t="s">
        <v>119</v>
      </c>
      <c r="F984" t="s">
        <v>134</v>
      </c>
      <c r="G984" t="s">
        <v>151</v>
      </c>
    </row>
    <row r="985" spans="1:8" x14ac:dyDescent="0.35">
      <c r="A985" s="10" t="s">
        <v>136</v>
      </c>
      <c r="B985" s="35">
        <f>imports2!L39</f>
        <v>1.9025342775696247E-2</v>
      </c>
      <c r="C985" t="s">
        <v>171</v>
      </c>
      <c r="D985" t="s">
        <v>119</v>
      </c>
      <c r="F985" t="s">
        <v>134</v>
      </c>
      <c r="G985" t="s">
        <v>151</v>
      </c>
      <c r="H985" t="s">
        <v>200</v>
      </c>
    </row>
    <row r="986" spans="1:8" x14ac:dyDescent="0.35">
      <c r="A986" s="35" t="str">
        <f>B969</f>
        <v xml:space="preserve">market for electricity, high voltage ES N1 </v>
      </c>
      <c r="B986" s="35">
        <f>imports2!M39*1.5</f>
        <v>6.9723253449038916E-2</v>
      </c>
      <c r="C986" t="s">
        <v>171</v>
      </c>
      <c r="D986" t="s">
        <v>119</v>
      </c>
      <c r="F986" t="s">
        <v>134</v>
      </c>
      <c r="G986" t="s">
        <v>151</v>
      </c>
    </row>
    <row r="987" spans="1:8" x14ac:dyDescent="0.35">
      <c r="A987" t="s">
        <v>122</v>
      </c>
      <c r="B987" s="35">
        <f>imports2!H40</f>
        <v>6.4011201986494251E-2</v>
      </c>
      <c r="C987" t="s">
        <v>171</v>
      </c>
      <c r="D987" t="s">
        <v>119</v>
      </c>
      <c r="F987" t="s">
        <v>134</v>
      </c>
      <c r="G987" t="s">
        <v>152</v>
      </c>
    </row>
    <row r="988" spans="1:8" x14ac:dyDescent="0.35">
      <c r="A988" t="s">
        <v>121</v>
      </c>
      <c r="B988" s="35">
        <f>imports2!H41</f>
        <v>7.974407572717343E-2</v>
      </c>
      <c r="C988" t="s">
        <v>171</v>
      </c>
      <c r="D988" t="s">
        <v>119</v>
      </c>
      <c r="F988" t="s">
        <v>134</v>
      </c>
      <c r="G988" t="s">
        <v>152</v>
      </c>
    </row>
    <row r="989" spans="1:8" x14ac:dyDescent="0.35">
      <c r="A989" t="s">
        <v>133</v>
      </c>
      <c r="B989" s="35">
        <f>imports2!H42</f>
        <v>9.6772597848279851E-2</v>
      </c>
      <c r="C989" t="s">
        <v>171</v>
      </c>
      <c r="D989" t="s">
        <v>119</v>
      </c>
      <c r="F989" t="s">
        <v>134</v>
      </c>
      <c r="G989" t="s">
        <v>152</v>
      </c>
    </row>
    <row r="990" spans="1:8" x14ac:dyDescent="0.35">
      <c r="A990" t="s">
        <v>125</v>
      </c>
      <c r="B990" s="35">
        <f>imports2!R45</f>
        <v>4.94760991840923E-9</v>
      </c>
      <c r="C990" t="s">
        <v>127</v>
      </c>
      <c r="D990" t="s">
        <v>138</v>
      </c>
      <c r="F990" t="s">
        <v>134</v>
      </c>
      <c r="G990" t="s">
        <v>101</v>
      </c>
    </row>
    <row r="991" spans="1:8" x14ac:dyDescent="0.35">
      <c r="A991" t="s">
        <v>124</v>
      </c>
      <c r="B991" s="35">
        <f>imports2!R46</f>
        <v>1.2961596435765799E-10</v>
      </c>
      <c r="C991" t="s">
        <v>127</v>
      </c>
      <c r="D991" t="s">
        <v>138</v>
      </c>
      <c r="F991" t="s">
        <v>134</v>
      </c>
      <c r="G991" t="s">
        <v>102</v>
      </c>
    </row>
    <row r="992" spans="1:8" x14ac:dyDescent="0.35">
      <c r="A992" t="s">
        <v>157</v>
      </c>
      <c r="B992" s="35">
        <f>imports2!R47</f>
        <v>1.0194905896113601E-10</v>
      </c>
      <c r="C992" t="s">
        <v>127</v>
      </c>
      <c r="D992" t="s">
        <v>138</v>
      </c>
      <c r="F992" t="s">
        <v>134</v>
      </c>
      <c r="G992" t="s">
        <v>103</v>
      </c>
    </row>
    <row r="994" spans="1:8" x14ac:dyDescent="0.35">
      <c r="A994" s="36" t="s">
        <v>19</v>
      </c>
      <c r="B994" s="35" t="s">
        <v>307</v>
      </c>
    </row>
    <row r="995" spans="1:8" x14ac:dyDescent="0.35">
      <c r="A995" t="s">
        <v>20</v>
      </c>
      <c r="B995" s="35">
        <v>1</v>
      </c>
    </row>
    <row r="996" spans="1:8" x14ac:dyDescent="0.35">
      <c r="A996" t="s">
        <v>21</v>
      </c>
      <c r="B996" s="35" t="s">
        <v>120</v>
      </c>
    </row>
    <row r="997" spans="1:8" x14ac:dyDescent="0.35">
      <c r="A997" t="s">
        <v>22</v>
      </c>
      <c r="B997" s="35" t="s">
        <v>151</v>
      </c>
    </row>
    <row r="998" spans="1:8" x14ac:dyDescent="0.35">
      <c r="A998" t="s">
        <v>23</v>
      </c>
      <c r="B998" s="35" t="s">
        <v>12</v>
      </c>
    </row>
    <row r="999" spans="1:8" x14ac:dyDescent="0.35">
      <c r="A999" t="s">
        <v>24</v>
      </c>
      <c r="B999" s="35" t="s">
        <v>119</v>
      </c>
    </row>
    <row r="1000" spans="1:8" x14ac:dyDescent="0.35">
      <c r="A1000" t="s">
        <v>25</v>
      </c>
      <c r="H1000" t="s">
        <v>21</v>
      </c>
    </row>
    <row r="1001" spans="1:8" x14ac:dyDescent="0.35">
      <c r="A1001" t="s">
        <v>26</v>
      </c>
      <c r="B1001" s="35" t="s">
        <v>27</v>
      </c>
      <c r="C1001" t="s">
        <v>23</v>
      </c>
      <c r="D1001" t="s">
        <v>24</v>
      </c>
      <c r="E1001" t="s">
        <v>28</v>
      </c>
      <c r="F1001" t="s">
        <v>29</v>
      </c>
      <c r="G1001" t="s">
        <v>22</v>
      </c>
      <c r="H1001" s="35" t="str">
        <f>B564</f>
        <v>RTE scenarios adapted from Ecoinvent - no background data altered</v>
      </c>
    </row>
    <row r="1002" spans="1:8" x14ac:dyDescent="0.35">
      <c r="A1002" s="35" t="str">
        <f>B994</f>
        <v xml:space="preserve">market for electricity, high voltage BE N1 </v>
      </c>
      <c r="B1002" s="35">
        <v>1</v>
      </c>
      <c r="C1002" t="s">
        <v>12</v>
      </c>
      <c r="D1002" t="s">
        <v>119</v>
      </c>
      <c r="F1002" t="s">
        <v>174</v>
      </c>
      <c r="G1002" t="s">
        <v>151</v>
      </c>
      <c r="H1002" t="s">
        <v>230</v>
      </c>
    </row>
    <row r="1003" spans="1:8" x14ac:dyDescent="0.35">
      <c r="A1003" s="35" t="str">
        <f>B994</f>
        <v xml:space="preserve">market for electricity, high voltage BE N1 </v>
      </c>
      <c r="B1003" s="35">
        <f>imports2!F71+imports2!G49</f>
        <v>0.22922391263786926</v>
      </c>
      <c r="C1003" t="s">
        <v>12</v>
      </c>
      <c r="D1003" t="s">
        <v>119</v>
      </c>
      <c r="F1003" t="s">
        <v>134</v>
      </c>
      <c r="G1003" t="s">
        <v>151</v>
      </c>
    </row>
    <row r="1004" spans="1:8" x14ac:dyDescent="0.35">
      <c r="A1004" t="s">
        <v>90</v>
      </c>
      <c r="B1004" s="35">
        <f>imports2!G50</f>
        <v>9.1908439025275221E-3</v>
      </c>
      <c r="C1004" t="s">
        <v>12</v>
      </c>
      <c r="D1004" t="s">
        <v>119</v>
      </c>
      <c r="F1004" t="s">
        <v>134</v>
      </c>
      <c r="G1004" t="s">
        <v>151</v>
      </c>
    </row>
    <row r="1005" spans="1:8" x14ac:dyDescent="0.35">
      <c r="A1005" t="s">
        <v>92</v>
      </c>
      <c r="B1005" s="35">
        <f>imports2!G53</f>
        <v>3.1570005215688281E-3</v>
      </c>
      <c r="C1005" t="s">
        <v>12</v>
      </c>
      <c r="D1005" t="s">
        <v>119</v>
      </c>
      <c r="F1005" t="s">
        <v>134</v>
      </c>
      <c r="G1005" t="s">
        <v>151</v>
      </c>
    </row>
    <row r="1006" spans="1:8" x14ac:dyDescent="0.35">
      <c r="A1006" t="s">
        <v>96</v>
      </c>
      <c r="B1006" s="35">
        <f>imports2!G54</f>
        <v>4.009085504727028E-2</v>
      </c>
      <c r="C1006" t="s">
        <v>12</v>
      </c>
      <c r="D1006" t="s">
        <v>119</v>
      </c>
      <c r="F1006" t="s">
        <v>134</v>
      </c>
      <c r="G1006" t="s">
        <v>151</v>
      </c>
    </row>
    <row r="1007" spans="1:8" x14ac:dyDescent="0.35">
      <c r="A1007" t="s">
        <v>132</v>
      </c>
      <c r="B1007" s="35">
        <f>imports2!G56</f>
        <v>0.43200142560211408</v>
      </c>
      <c r="C1007" t="s">
        <v>12</v>
      </c>
      <c r="D1007" t="s">
        <v>119</v>
      </c>
      <c r="F1007" t="s">
        <v>134</v>
      </c>
      <c r="G1007" t="s">
        <v>151</v>
      </c>
    </row>
    <row r="1008" spans="1:8" x14ac:dyDescent="0.35">
      <c r="A1008" t="s">
        <v>123</v>
      </c>
      <c r="B1008" s="35">
        <f>imports2!G58</f>
        <v>6.2704498274183266E-3</v>
      </c>
      <c r="C1008" t="s">
        <v>12</v>
      </c>
      <c r="D1008" t="s">
        <v>119</v>
      </c>
      <c r="F1008" t="s">
        <v>134</v>
      </c>
      <c r="G1008" t="s">
        <v>151</v>
      </c>
    </row>
    <row r="1009" spans="1:8" x14ac:dyDescent="0.35">
      <c r="A1009" t="s">
        <v>218</v>
      </c>
      <c r="B1009" s="35">
        <f>imports2!G63</f>
        <v>2.2117724493565531E-2</v>
      </c>
      <c r="C1009" t="s">
        <v>12</v>
      </c>
      <c r="D1009" t="s">
        <v>119</v>
      </c>
      <c r="F1009" t="s">
        <v>134</v>
      </c>
      <c r="G1009" t="s">
        <v>151</v>
      </c>
    </row>
    <row r="1010" spans="1:8" x14ac:dyDescent="0.35">
      <c r="A1010" t="s">
        <v>97</v>
      </c>
      <c r="B1010" s="35">
        <f>imports2!G64</f>
        <v>5.3143174443699585E-2</v>
      </c>
      <c r="C1010" t="s">
        <v>12</v>
      </c>
      <c r="D1010" t="s">
        <v>119</v>
      </c>
      <c r="F1010" t="s">
        <v>134</v>
      </c>
      <c r="G1010" t="s">
        <v>151</v>
      </c>
    </row>
    <row r="1011" spans="1:8" x14ac:dyDescent="0.35">
      <c r="A1011" t="s">
        <v>196</v>
      </c>
      <c r="B1011" s="35">
        <f>imports2!G65</f>
        <v>3.3712085572547611E-3</v>
      </c>
      <c r="C1011" t="s">
        <v>12</v>
      </c>
      <c r="D1011" t="s">
        <v>119</v>
      </c>
      <c r="F1011" t="s">
        <v>134</v>
      </c>
      <c r="G1011" t="s">
        <v>151</v>
      </c>
    </row>
    <row r="1012" spans="1:8" x14ac:dyDescent="0.35">
      <c r="A1012" t="s">
        <v>131</v>
      </c>
      <c r="B1012" s="35">
        <f>imports2!G70</f>
        <v>1.5753243368237799E-3</v>
      </c>
      <c r="C1012" t="s">
        <v>12</v>
      </c>
      <c r="D1012" t="s">
        <v>119</v>
      </c>
      <c r="F1012" t="s">
        <v>134</v>
      </c>
      <c r="G1012" t="s">
        <v>151</v>
      </c>
    </row>
    <row r="1013" spans="1:8" x14ac:dyDescent="0.35">
      <c r="A1013" s="35" t="s">
        <v>305</v>
      </c>
      <c r="B1013" s="35">
        <f>imports2!H69</f>
        <v>1.3346874905555593E-3</v>
      </c>
      <c r="C1013" t="s">
        <v>169</v>
      </c>
      <c r="D1013" t="s">
        <v>119</v>
      </c>
      <c r="F1013" t="s">
        <v>134</v>
      </c>
      <c r="G1013" t="s">
        <v>151</v>
      </c>
      <c r="H1013" t="s">
        <v>198</v>
      </c>
    </row>
    <row r="1014" spans="1:8" x14ac:dyDescent="0.35">
      <c r="A1014" s="35" t="s">
        <v>333</v>
      </c>
      <c r="B1014" s="35">
        <f>imports2!H68</f>
        <v>6.9830342662515907E-2</v>
      </c>
      <c r="C1014" t="s">
        <v>31</v>
      </c>
      <c r="D1014" t="s">
        <v>119</v>
      </c>
      <c r="F1014" t="s">
        <v>134</v>
      </c>
      <c r="G1014" t="s">
        <v>151</v>
      </c>
    </row>
    <row r="1015" spans="1:8" x14ac:dyDescent="0.35">
      <c r="A1015" t="s">
        <v>156</v>
      </c>
      <c r="B1015" s="35">
        <f>imports2!H51</f>
        <v>8.5741000184423437E-4</v>
      </c>
      <c r="C1015" t="s">
        <v>256</v>
      </c>
      <c r="D1015" t="s">
        <v>119</v>
      </c>
      <c r="F1015" t="s">
        <v>134</v>
      </c>
      <c r="G1015" t="s">
        <v>151</v>
      </c>
    </row>
    <row r="1016" spans="1:8" x14ac:dyDescent="0.35">
      <c r="A1016" t="s">
        <v>156</v>
      </c>
      <c r="B1016" s="35">
        <f>imports2!H67</f>
        <v>6.2443100823966341E-2</v>
      </c>
      <c r="C1016" t="s">
        <v>247</v>
      </c>
      <c r="D1016" t="s">
        <v>119</v>
      </c>
      <c r="F1016" t="s">
        <v>134</v>
      </c>
      <c r="G1016" t="s">
        <v>151</v>
      </c>
    </row>
    <row r="1017" spans="1:8" x14ac:dyDescent="0.35">
      <c r="A1017" s="9" t="s">
        <v>122</v>
      </c>
      <c r="B1017" s="35">
        <f>imports2!H77</f>
        <v>2.0631916101271498E-2</v>
      </c>
      <c r="C1017" t="s">
        <v>12</v>
      </c>
      <c r="D1017" t="s">
        <v>119</v>
      </c>
      <c r="F1017" t="s">
        <v>134</v>
      </c>
      <c r="G1017" t="s">
        <v>152</v>
      </c>
    </row>
    <row r="1018" spans="1:8" x14ac:dyDescent="0.35">
      <c r="A1018" s="9" t="s">
        <v>121</v>
      </c>
      <c r="B1018" s="35">
        <f>imports2!H78</f>
        <v>4.1263832202542997E-2</v>
      </c>
      <c r="C1018" t="s">
        <v>12</v>
      </c>
      <c r="D1018" t="s">
        <v>119</v>
      </c>
      <c r="F1018" t="s">
        <v>134</v>
      </c>
      <c r="G1018" t="s">
        <v>152</v>
      </c>
    </row>
    <row r="1019" spans="1:8" x14ac:dyDescent="0.35">
      <c r="A1019" t="s">
        <v>133</v>
      </c>
      <c r="B1019" s="35">
        <f>imports2!H79</f>
        <v>2.0631916101271498E-2</v>
      </c>
      <c r="C1019" t="s">
        <v>12</v>
      </c>
      <c r="D1019" t="s">
        <v>119</v>
      </c>
      <c r="F1019" t="s">
        <v>134</v>
      </c>
      <c r="G1019" t="s">
        <v>152</v>
      </c>
    </row>
    <row r="1020" spans="1:8" x14ac:dyDescent="0.35">
      <c r="A1020" t="s">
        <v>125</v>
      </c>
      <c r="B1020" s="35">
        <f>imports2!G74</f>
        <v>2.1426993590677398E-9</v>
      </c>
      <c r="C1020" t="s">
        <v>127</v>
      </c>
      <c r="D1020" t="s">
        <v>138</v>
      </c>
      <c r="F1020" t="s">
        <v>134</v>
      </c>
      <c r="G1020" t="s">
        <v>101</v>
      </c>
    </row>
    <row r="1021" spans="1:8" x14ac:dyDescent="0.35">
      <c r="A1021" t="s">
        <v>124</v>
      </c>
      <c r="B1021" s="35">
        <f>imports2!G75</f>
        <v>1.16401360225082E-9</v>
      </c>
      <c r="C1021" t="s">
        <v>127</v>
      </c>
      <c r="D1021" t="s">
        <v>138</v>
      </c>
      <c r="F1021" t="s">
        <v>134</v>
      </c>
      <c r="G1021" t="s">
        <v>102</v>
      </c>
    </row>
    <row r="1024" spans="1:8" x14ac:dyDescent="0.35">
      <c r="A1024" s="36" t="s">
        <v>19</v>
      </c>
      <c r="B1024" s="35" t="s">
        <v>312</v>
      </c>
    </row>
    <row r="1025" spans="1:8" x14ac:dyDescent="0.35">
      <c r="A1025" t="s">
        <v>20</v>
      </c>
      <c r="B1025" s="35">
        <v>1</v>
      </c>
    </row>
    <row r="1026" spans="1:8" x14ac:dyDescent="0.35">
      <c r="A1026" t="s">
        <v>21</v>
      </c>
      <c r="B1026" s="35" t="s">
        <v>120</v>
      </c>
    </row>
    <row r="1027" spans="1:8" x14ac:dyDescent="0.35">
      <c r="A1027" t="s">
        <v>22</v>
      </c>
      <c r="B1027" s="35" t="s">
        <v>151</v>
      </c>
    </row>
    <row r="1028" spans="1:8" x14ac:dyDescent="0.35">
      <c r="A1028" t="s">
        <v>23</v>
      </c>
      <c r="B1028" s="35" t="s">
        <v>170</v>
      </c>
    </row>
    <row r="1029" spans="1:8" x14ac:dyDescent="0.35">
      <c r="A1029" t="s">
        <v>24</v>
      </c>
      <c r="B1029" s="35" t="s">
        <v>119</v>
      </c>
    </row>
    <row r="1030" spans="1:8" x14ac:dyDescent="0.35">
      <c r="A1030" t="s">
        <v>25</v>
      </c>
      <c r="H1030" t="s">
        <v>21</v>
      </c>
    </row>
    <row r="1031" spans="1:8" x14ac:dyDescent="0.35">
      <c r="A1031" t="s">
        <v>26</v>
      </c>
      <c r="B1031" s="35" t="s">
        <v>27</v>
      </c>
      <c r="C1031" t="s">
        <v>23</v>
      </c>
      <c r="D1031" t="s">
        <v>24</v>
      </c>
      <c r="E1031" t="s">
        <v>28</v>
      </c>
      <c r="F1031" t="s">
        <v>29</v>
      </c>
      <c r="G1031" t="s">
        <v>22</v>
      </c>
      <c r="H1031" s="35" t="str">
        <f>B448</f>
        <v>RTE scenarios adapted from Ecoinvent - no background data altered</v>
      </c>
    </row>
    <row r="1032" spans="1:8" x14ac:dyDescent="0.35">
      <c r="A1032" s="35" t="str">
        <f>B1024</f>
        <v xml:space="preserve">market for electricity, high voltage DE N2 </v>
      </c>
      <c r="B1032" s="35">
        <v>1</v>
      </c>
      <c r="C1032" t="s">
        <v>170</v>
      </c>
      <c r="D1032" t="s">
        <v>119</v>
      </c>
      <c r="F1032" t="s">
        <v>174</v>
      </c>
      <c r="G1032" t="s">
        <v>151</v>
      </c>
      <c r="H1032" t="s">
        <v>201</v>
      </c>
    </row>
    <row r="1033" spans="1:8" x14ac:dyDescent="0.35">
      <c r="A1033" s="35" t="str">
        <f>B1024</f>
        <v xml:space="preserve">market for electricity, high voltage DE N2 </v>
      </c>
      <c r="B1033" s="35">
        <v>2.1779170075109801E-2</v>
      </c>
      <c r="C1033" t="s">
        <v>170</v>
      </c>
      <c r="D1033" t="s">
        <v>119</v>
      </c>
      <c r="F1033" t="s">
        <v>134</v>
      </c>
      <c r="G1033" t="s">
        <v>151</v>
      </c>
    </row>
    <row r="1034" spans="1:8" x14ac:dyDescent="0.35">
      <c r="A1034" t="s">
        <v>195</v>
      </c>
      <c r="B1034" s="35">
        <f>imports2!K6</f>
        <v>1.659558553020022E-2</v>
      </c>
      <c r="C1034" t="s">
        <v>170</v>
      </c>
      <c r="D1034" t="s">
        <v>119</v>
      </c>
      <c r="F1034" t="s">
        <v>134</v>
      </c>
      <c r="G1034" t="s">
        <v>151</v>
      </c>
    </row>
    <row r="1035" spans="1:8" x14ac:dyDescent="0.35">
      <c r="A1035" t="s">
        <v>97</v>
      </c>
      <c r="B1035" s="35">
        <f>imports2!I8</f>
        <v>0.27054578589139044</v>
      </c>
      <c r="C1035" t="s">
        <v>170</v>
      </c>
      <c r="D1035" t="s">
        <v>119</v>
      </c>
      <c r="F1035" t="s">
        <v>134</v>
      </c>
      <c r="G1035" t="s">
        <v>151</v>
      </c>
    </row>
    <row r="1036" spans="1:8" x14ac:dyDescent="0.35">
      <c r="A1036" s="9" t="s">
        <v>131</v>
      </c>
      <c r="B1036" s="35">
        <f>imports2!I7</f>
        <v>4.9312830192547452E-2</v>
      </c>
      <c r="C1036" t="s">
        <v>170</v>
      </c>
      <c r="D1036" t="s">
        <v>119</v>
      </c>
      <c r="F1036" t="s">
        <v>134</v>
      </c>
      <c r="G1036" t="s">
        <v>151</v>
      </c>
    </row>
    <row r="1037" spans="1:8" x14ac:dyDescent="0.35">
      <c r="A1037" t="s">
        <v>123</v>
      </c>
      <c r="B1037" s="35">
        <f>imports2!I9</f>
        <v>2.9626981034993907E-2</v>
      </c>
      <c r="C1037" t="s">
        <v>170</v>
      </c>
      <c r="D1037" t="s">
        <v>119</v>
      </c>
      <c r="F1037" t="s">
        <v>134</v>
      </c>
      <c r="G1037" t="s">
        <v>151</v>
      </c>
    </row>
    <row r="1038" spans="1:8" x14ac:dyDescent="0.35">
      <c r="A1038" t="s">
        <v>96</v>
      </c>
      <c r="B1038" s="35">
        <f>imports2!J6</f>
        <v>0.258390264249312</v>
      </c>
      <c r="C1038" t="s">
        <v>170</v>
      </c>
      <c r="D1038" t="s">
        <v>119</v>
      </c>
      <c r="F1038" t="s">
        <v>134</v>
      </c>
      <c r="G1038" t="s">
        <v>151</v>
      </c>
    </row>
    <row r="1039" spans="1:8" x14ac:dyDescent="0.35">
      <c r="A1039" s="10" t="s">
        <v>136</v>
      </c>
      <c r="B1039" s="35">
        <f>imports2!L6</f>
        <v>0.10321602730126453</v>
      </c>
      <c r="C1039" t="s">
        <v>170</v>
      </c>
      <c r="D1039" t="s">
        <v>119</v>
      </c>
      <c r="F1039" t="s">
        <v>134</v>
      </c>
      <c r="G1039" t="s">
        <v>151</v>
      </c>
      <c r="H1039" t="s">
        <v>198</v>
      </c>
    </row>
    <row r="1040" spans="1:8" x14ac:dyDescent="0.35">
      <c r="A1040" s="35" t="s">
        <v>335</v>
      </c>
      <c r="B1040" s="35">
        <f>imports2!N6*imports2!Y3</f>
        <v>2.5669550461059169E-2</v>
      </c>
      <c r="C1040" t="s">
        <v>31</v>
      </c>
      <c r="D1040" t="s">
        <v>119</v>
      </c>
      <c r="F1040" t="s">
        <v>134</v>
      </c>
      <c r="G1040" t="s">
        <v>151</v>
      </c>
      <c r="H1040" t="s">
        <v>216</v>
      </c>
    </row>
    <row r="1041" spans="1:8" x14ac:dyDescent="0.35">
      <c r="A1041" s="35" t="s">
        <v>156</v>
      </c>
      <c r="B1041" s="35">
        <f>imports2!N6*imports2!Y7</f>
        <v>1.1019349007980479E-2</v>
      </c>
      <c r="C1041" t="s">
        <v>130</v>
      </c>
      <c r="D1041" t="s">
        <v>119</v>
      </c>
      <c r="F1041" t="s">
        <v>134</v>
      </c>
      <c r="G1041" t="s">
        <v>151</v>
      </c>
    </row>
    <row r="1042" spans="1:8" x14ac:dyDescent="0.35">
      <c r="A1042" s="35" t="s">
        <v>156</v>
      </c>
      <c r="B1042" s="35">
        <f>imports2!$N$6*imports2!Y4</f>
        <v>5.0543178546670385E-3</v>
      </c>
      <c r="C1042" t="s">
        <v>246</v>
      </c>
      <c r="D1042" t="s">
        <v>119</v>
      </c>
      <c r="F1042" t="s">
        <v>134</v>
      </c>
      <c r="G1042" t="s">
        <v>151</v>
      </c>
    </row>
    <row r="1043" spans="1:8" x14ac:dyDescent="0.35">
      <c r="A1043" s="35" t="s">
        <v>156</v>
      </c>
      <c r="B1043" s="35">
        <f>imports2!$N$6*imports2!Y5</f>
        <v>8.3089711736804503E-3</v>
      </c>
      <c r="C1043" t="s">
        <v>247</v>
      </c>
      <c r="D1043" t="s">
        <v>119</v>
      </c>
      <c r="F1043" t="s">
        <v>134</v>
      </c>
      <c r="G1043" t="s">
        <v>151</v>
      </c>
    </row>
    <row r="1044" spans="1:8" x14ac:dyDescent="0.35">
      <c r="A1044" s="35" t="s">
        <v>156</v>
      </c>
      <c r="B1044" s="35">
        <f>imports2!$N$6*imports2!Y6</f>
        <v>3.2932901996355329E-5</v>
      </c>
      <c r="C1044" t="s">
        <v>248</v>
      </c>
      <c r="D1044" t="s">
        <v>119</v>
      </c>
      <c r="F1044" t="s">
        <v>134</v>
      </c>
      <c r="G1044" t="s">
        <v>151</v>
      </c>
    </row>
    <row r="1045" spans="1:8" x14ac:dyDescent="0.35">
      <c r="A1045" s="35" t="s">
        <v>156</v>
      </c>
      <c r="B1045" s="35">
        <f>imports2!$N$6*imports2!Y8</f>
        <v>2.1966245631568995E-3</v>
      </c>
      <c r="C1045" t="s">
        <v>249</v>
      </c>
      <c r="D1045" t="s">
        <v>119</v>
      </c>
      <c r="F1045" t="s">
        <v>134</v>
      </c>
      <c r="G1045" t="s">
        <v>151</v>
      </c>
    </row>
    <row r="1046" spans="1:8" x14ac:dyDescent="0.35">
      <c r="A1046" s="35" t="s">
        <v>156</v>
      </c>
      <c r="B1046" s="35">
        <f>imports2!$N$6*imports2!Y9</f>
        <v>8.0290415067114304E-3</v>
      </c>
      <c r="C1046" t="s">
        <v>250</v>
      </c>
      <c r="D1046" t="s">
        <v>119</v>
      </c>
      <c r="F1046" t="s">
        <v>134</v>
      </c>
      <c r="G1046" t="s">
        <v>151</v>
      </c>
    </row>
    <row r="1047" spans="1:8" x14ac:dyDescent="0.35">
      <c r="A1047" s="35" t="s">
        <v>156</v>
      </c>
      <c r="B1047" s="35">
        <f>imports2!$N$6*imports2!Y10</f>
        <v>5.6726923688722062E-3</v>
      </c>
      <c r="C1047" t="s">
        <v>251</v>
      </c>
      <c r="D1047" t="s">
        <v>119</v>
      </c>
      <c r="F1047" t="s">
        <v>134</v>
      </c>
      <c r="G1047" t="s">
        <v>151</v>
      </c>
      <c r="H1047" t="s">
        <v>200</v>
      </c>
    </row>
    <row r="1048" spans="1:8" x14ac:dyDescent="0.35">
      <c r="A1048" s="35" t="str">
        <f>A1033</f>
        <v xml:space="preserve">market for electricity, high voltage DE N2 </v>
      </c>
      <c r="B1048" s="35">
        <f>imports2!M6*1.5</f>
        <v>4.567915761376859E-2</v>
      </c>
      <c r="C1048" t="s">
        <v>170</v>
      </c>
      <c r="D1048" t="s">
        <v>119</v>
      </c>
      <c r="F1048" t="s">
        <v>134</v>
      </c>
      <c r="G1048" t="s">
        <v>151</v>
      </c>
    </row>
    <row r="1049" spans="1:8" x14ac:dyDescent="0.35">
      <c r="A1049" t="s">
        <v>122</v>
      </c>
      <c r="B1049" s="35">
        <f>imports2!H7</f>
        <v>2.8781564673414417E-2</v>
      </c>
      <c r="C1049" t="s">
        <v>170</v>
      </c>
      <c r="D1049" t="s">
        <v>119</v>
      </c>
      <c r="F1049" t="s">
        <v>134</v>
      </c>
      <c r="G1049" t="s">
        <v>152</v>
      </c>
    </row>
    <row r="1050" spans="1:8" x14ac:dyDescent="0.35">
      <c r="A1050" t="s">
        <v>121</v>
      </c>
      <c r="B1050" s="35">
        <f>imports2!H8</f>
        <v>3.5844168946948626E-2</v>
      </c>
      <c r="C1050" t="s">
        <v>170</v>
      </c>
      <c r="D1050" t="s">
        <v>119</v>
      </c>
      <c r="F1050" t="s">
        <v>134</v>
      </c>
      <c r="G1050" t="s">
        <v>152</v>
      </c>
    </row>
    <row r="1051" spans="1:8" x14ac:dyDescent="0.35">
      <c r="A1051" t="s">
        <v>133</v>
      </c>
      <c r="B1051" s="35">
        <f>imports2!H9</f>
        <v>0.11125054059929187</v>
      </c>
      <c r="C1051" t="s">
        <v>170</v>
      </c>
      <c r="D1051" t="s">
        <v>119</v>
      </c>
      <c r="F1051" t="s">
        <v>134</v>
      </c>
      <c r="G1051" t="s">
        <v>152</v>
      </c>
    </row>
    <row r="1052" spans="1:8" x14ac:dyDescent="0.35">
      <c r="A1052" t="s">
        <v>125</v>
      </c>
      <c r="B1052" s="35">
        <f>imports2!S10</f>
        <v>2.1621783573657501E-9</v>
      </c>
      <c r="C1052" t="s">
        <v>127</v>
      </c>
      <c r="D1052" t="s">
        <v>138</v>
      </c>
      <c r="F1052" t="s">
        <v>134</v>
      </c>
      <c r="G1052" t="s">
        <v>101</v>
      </c>
    </row>
    <row r="1055" spans="1:8" x14ac:dyDescent="0.35">
      <c r="A1055" s="36" t="s">
        <v>19</v>
      </c>
      <c r="B1055" s="35" t="s">
        <v>311</v>
      </c>
    </row>
    <row r="1056" spans="1:8" x14ac:dyDescent="0.35">
      <c r="A1056" t="s">
        <v>20</v>
      </c>
      <c r="B1056" s="35">
        <v>1</v>
      </c>
    </row>
    <row r="1057" spans="1:8" x14ac:dyDescent="0.35">
      <c r="A1057" t="s">
        <v>21</v>
      </c>
      <c r="B1057" s="35" t="s">
        <v>120</v>
      </c>
    </row>
    <row r="1058" spans="1:8" x14ac:dyDescent="0.35">
      <c r="A1058" t="s">
        <v>22</v>
      </c>
      <c r="B1058" s="35" t="s">
        <v>151</v>
      </c>
    </row>
    <row r="1059" spans="1:8" x14ac:dyDescent="0.35">
      <c r="A1059" t="s">
        <v>23</v>
      </c>
      <c r="B1059" s="35" t="s">
        <v>169</v>
      </c>
    </row>
    <row r="1060" spans="1:8" x14ac:dyDescent="0.35">
      <c r="A1060" t="s">
        <v>24</v>
      </c>
      <c r="B1060" s="35" t="s">
        <v>119</v>
      </c>
    </row>
    <row r="1061" spans="1:8" x14ac:dyDescent="0.35">
      <c r="A1061" t="s">
        <v>25</v>
      </c>
      <c r="H1061" t="s">
        <v>21</v>
      </c>
    </row>
    <row r="1062" spans="1:8" x14ac:dyDescent="0.35">
      <c r="A1062" t="s">
        <v>26</v>
      </c>
      <c r="B1062" s="35" t="s">
        <v>27</v>
      </c>
      <c r="C1062" t="s">
        <v>23</v>
      </c>
      <c r="D1062" t="s">
        <v>24</v>
      </c>
      <c r="E1062" t="s">
        <v>28</v>
      </c>
      <c r="F1062" t="s">
        <v>29</v>
      </c>
      <c r="G1062" t="s">
        <v>22</v>
      </c>
      <c r="H1062" s="35" t="str">
        <f>B479</f>
        <v>RTE scenarios adapted from Ecoinvent - no background data altered</v>
      </c>
    </row>
    <row r="1063" spans="1:8" x14ac:dyDescent="0.35">
      <c r="A1063" s="35" t="str">
        <f>B1055</f>
        <v xml:space="preserve">market for electricity, high voltage GB N2 </v>
      </c>
      <c r="B1063" s="35">
        <v>1</v>
      </c>
      <c r="C1063" t="s">
        <v>169</v>
      </c>
      <c r="D1063" t="s">
        <v>119</v>
      </c>
      <c r="F1063" t="s">
        <v>174</v>
      </c>
      <c r="G1063" t="s">
        <v>151</v>
      </c>
      <c r="H1063" t="s">
        <v>201</v>
      </c>
    </row>
    <row r="1064" spans="1:8" x14ac:dyDescent="0.35">
      <c r="A1064" s="35" t="str">
        <f>B1055</f>
        <v xml:space="preserve">market for electricity, high voltage GB N2 </v>
      </c>
      <c r="B1064" s="35">
        <v>3.26941222043741E-2</v>
      </c>
      <c r="C1064" t="s">
        <v>169</v>
      </c>
      <c r="D1064" t="s">
        <v>119</v>
      </c>
      <c r="F1064" t="s">
        <v>134</v>
      </c>
      <c r="G1064" t="s">
        <v>151</v>
      </c>
    </row>
    <row r="1065" spans="1:8" x14ac:dyDescent="0.35">
      <c r="A1065" t="s">
        <v>132</v>
      </c>
      <c r="B1065" s="35">
        <f>imports2!G19</f>
        <v>1.3243315951176915E-2</v>
      </c>
      <c r="C1065" t="s">
        <v>169</v>
      </c>
      <c r="D1065" t="s">
        <v>119</v>
      </c>
      <c r="F1065" t="s">
        <v>134</v>
      </c>
      <c r="G1065" t="s">
        <v>151</v>
      </c>
    </row>
    <row r="1066" spans="1:8" x14ac:dyDescent="0.35">
      <c r="A1066" t="s">
        <v>199</v>
      </c>
      <c r="B1066" s="35">
        <f>imports2!G18</f>
        <v>8.9405658518934977E-2</v>
      </c>
      <c r="C1066" t="s">
        <v>169</v>
      </c>
      <c r="D1066" t="s">
        <v>119</v>
      </c>
      <c r="F1066" t="s">
        <v>134</v>
      </c>
      <c r="G1066" t="s">
        <v>151</v>
      </c>
    </row>
    <row r="1067" spans="1:8" x14ac:dyDescent="0.35">
      <c r="A1067" t="s">
        <v>92</v>
      </c>
      <c r="B1067" s="35">
        <f>imports2!K17</f>
        <v>3.8125908706551755E-2</v>
      </c>
      <c r="C1067" t="s">
        <v>169</v>
      </c>
      <c r="D1067" t="s">
        <v>119</v>
      </c>
      <c r="F1067" t="s">
        <v>134</v>
      </c>
      <c r="G1067" t="s">
        <v>151</v>
      </c>
    </row>
    <row r="1068" spans="1:8" x14ac:dyDescent="0.35">
      <c r="A1068" t="s">
        <v>97</v>
      </c>
      <c r="B1068" s="35">
        <f>imports2!I20</f>
        <v>1.367831651297859E-2</v>
      </c>
      <c r="C1068" t="s">
        <v>169</v>
      </c>
      <c r="D1068" t="s">
        <v>119</v>
      </c>
      <c r="F1068" t="s">
        <v>134</v>
      </c>
      <c r="G1068" t="s">
        <v>151</v>
      </c>
    </row>
    <row r="1069" spans="1:8" x14ac:dyDescent="0.35">
      <c r="A1069" s="9" t="s">
        <v>131</v>
      </c>
      <c r="B1069" s="35">
        <f>imports2!I18</f>
        <v>1.6512085966431005E-3</v>
      </c>
      <c r="C1069" t="s">
        <v>169</v>
      </c>
      <c r="D1069" t="s">
        <v>119</v>
      </c>
      <c r="F1069" t="s">
        <v>134</v>
      </c>
      <c r="G1069" t="s">
        <v>151</v>
      </c>
    </row>
    <row r="1070" spans="1:8" x14ac:dyDescent="0.35">
      <c r="A1070" t="s">
        <v>123</v>
      </c>
      <c r="B1070" s="35">
        <f>imports2!I19</f>
        <v>9.6100156529368226E-4</v>
      </c>
      <c r="C1070" t="s">
        <v>169</v>
      </c>
      <c r="D1070" t="s">
        <v>119</v>
      </c>
      <c r="F1070" t="s">
        <v>134</v>
      </c>
      <c r="G1070" t="s">
        <v>151</v>
      </c>
    </row>
    <row r="1071" spans="1:8" x14ac:dyDescent="0.35">
      <c r="A1071" t="s">
        <v>96</v>
      </c>
      <c r="B1071" s="35">
        <f>imports2!J17</f>
        <v>0.29280430490324977</v>
      </c>
      <c r="C1071" t="s">
        <v>169</v>
      </c>
      <c r="D1071" t="s">
        <v>119</v>
      </c>
      <c r="F1071" t="s">
        <v>134</v>
      </c>
      <c r="G1071" t="s">
        <v>151</v>
      </c>
    </row>
    <row r="1072" spans="1:8" x14ac:dyDescent="0.35">
      <c r="A1072" s="10" t="s">
        <v>136</v>
      </c>
      <c r="B1072" s="35">
        <f>imports2!L17</f>
        <v>7.8769276726965903E-2</v>
      </c>
      <c r="C1072" t="s">
        <v>169</v>
      </c>
      <c r="D1072" t="s">
        <v>119</v>
      </c>
      <c r="F1072" t="s">
        <v>134</v>
      </c>
      <c r="G1072" t="s">
        <v>151</v>
      </c>
      <c r="H1072" t="s">
        <v>200</v>
      </c>
    </row>
    <row r="1073" spans="1:8" x14ac:dyDescent="0.35">
      <c r="A1073" s="35" t="str">
        <f>A1064</f>
        <v xml:space="preserve">market for electricity, high voltage GB N2 </v>
      </c>
      <c r="B1073" s="35">
        <f>imports2!M17*1.5</f>
        <v>1.2432875805039075E-2</v>
      </c>
      <c r="C1073" t="s">
        <v>169</v>
      </c>
      <c r="D1073" t="s">
        <v>119</v>
      </c>
      <c r="F1073" t="s">
        <v>134</v>
      </c>
      <c r="G1073" t="s">
        <v>151</v>
      </c>
    </row>
    <row r="1074" spans="1:8" x14ac:dyDescent="0.35">
      <c r="A1074" t="s">
        <v>122</v>
      </c>
      <c r="B1074" s="35">
        <f>imports2!H18</f>
        <v>9.6093041262761917E-3</v>
      </c>
      <c r="C1074" t="s">
        <v>169</v>
      </c>
      <c r="D1074" t="s">
        <v>119</v>
      </c>
      <c r="F1074" t="s">
        <v>134</v>
      </c>
      <c r="G1074" t="s">
        <v>152</v>
      </c>
    </row>
    <row r="1075" spans="1:8" x14ac:dyDescent="0.35">
      <c r="A1075" t="s">
        <v>121</v>
      </c>
      <c r="B1075" s="35">
        <f>imports2!H19</f>
        <v>1.1986863908132712E-2</v>
      </c>
      <c r="C1075" t="s">
        <v>169</v>
      </c>
      <c r="D1075" t="s">
        <v>119</v>
      </c>
      <c r="F1075" t="s">
        <v>134</v>
      </c>
      <c r="G1075" t="s">
        <v>152</v>
      </c>
    </row>
    <row r="1076" spans="1:8" x14ac:dyDescent="0.35">
      <c r="A1076" t="s">
        <v>133</v>
      </c>
      <c r="B1076" s="35">
        <f>imports2!H20</f>
        <v>4.1921001991008532E-2</v>
      </c>
      <c r="C1076" t="s">
        <v>169</v>
      </c>
      <c r="D1076" t="s">
        <v>119</v>
      </c>
      <c r="F1076" t="s">
        <v>134</v>
      </c>
      <c r="G1076" t="s">
        <v>152</v>
      </c>
    </row>
    <row r="1077" spans="1:8" x14ac:dyDescent="0.35">
      <c r="A1077" t="s">
        <v>125</v>
      </c>
      <c r="B1077" s="35">
        <f>imports2!R22</f>
        <v>2.1670778390046501E-9</v>
      </c>
      <c r="C1077" t="s">
        <v>127</v>
      </c>
      <c r="D1077" t="s">
        <v>138</v>
      </c>
      <c r="F1077" t="s">
        <v>134</v>
      </c>
      <c r="G1077" t="s">
        <v>101</v>
      </c>
    </row>
    <row r="1078" spans="1:8" x14ac:dyDescent="0.35">
      <c r="A1078" t="s">
        <v>124</v>
      </c>
      <c r="B1078" s="35">
        <f>imports2!R23</f>
        <v>1.4192813639264101E-10</v>
      </c>
      <c r="C1078" t="s">
        <v>127</v>
      </c>
      <c r="D1078" t="s">
        <v>138</v>
      </c>
      <c r="F1078" t="s">
        <v>134</v>
      </c>
      <c r="G1078" t="s">
        <v>102</v>
      </c>
    </row>
    <row r="1079" spans="1:8" x14ac:dyDescent="0.35">
      <c r="A1079" t="s">
        <v>157</v>
      </c>
      <c r="B1079" s="35">
        <f>imports2!R24</f>
        <v>2.6965250167450102E-10</v>
      </c>
      <c r="C1079" t="s">
        <v>127</v>
      </c>
      <c r="D1079" t="s">
        <v>138</v>
      </c>
      <c r="F1079" t="s">
        <v>134</v>
      </c>
      <c r="G1079" t="s">
        <v>103</v>
      </c>
    </row>
    <row r="1081" spans="1:8" x14ac:dyDescent="0.35">
      <c r="A1081" s="36" t="s">
        <v>19</v>
      </c>
      <c r="B1081" s="35" t="s">
        <v>310</v>
      </c>
    </row>
    <row r="1082" spans="1:8" x14ac:dyDescent="0.35">
      <c r="A1082" t="s">
        <v>20</v>
      </c>
      <c r="B1082" s="35">
        <v>1</v>
      </c>
    </row>
    <row r="1083" spans="1:8" x14ac:dyDescent="0.35">
      <c r="A1083" t="s">
        <v>21</v>
      </c>
      <c r="B1083" s="35" t="s">
        <v>120</v>
      </c>
    </row>
    <row r="1084" spans="1:8" x14ac:dyDescent="0.35">
      <c r="A1084" t="s">
        <v>22</v>
      </c>
      <c r="B1084" s="35" t="s">
        <v>151</v>
      </c>
    </row>
    <row r="1085" spans="1:8" x14ac:dyDescent="0.35">
      <c r="A1085" t="s">
        <v>23</v>
      </c>
      <c r="B1085" s="35" t="s">
        <v>168</v>
      </c>
    </row>
    <row r="1086" spans="1:8" x14ac:dyDescent="0.35">
      <c r="A1086" t="s">
        <v>24</v>
      </c>
      <c r="B1086" s="35" t="s">
        <v>119</v>
      </c>
    </row>
    <row r="1087" spans="1:8" x14ac:dyDescent="0.35">
      <c r="A1087" t="s">
        <v>25</v>
      </c>
      <c r="H1087" t="s">
        <v>21</v>
      </c>
    </row>
    <row r="1088" spans="1:8" x14ac:dyDescent="0.35">
      <c r="A1088" t="s">
        <v>26</v>
      </c>
      <c r="B1088" s="35" t="s">
        <v>27</v>
      </c>
      <c r="C1088" t="s">
        <v>23</v>
      </c>
      <c r="D1088" t="s">
        <v>24</v>
      </c>
      <c r="E1088" t="s">
        <v>28</v>
      </c>
      <c r="F1088" t="s">
        <v>29</v>
      </c>
      <c r="G1088" t="s">
        <v>22</v>
      </c>
      <c r="H1088" s="35" t="str">
        <f>B506</f>
        <v>RTE scenarios adapted from Ecoinvent - no background data altered</v>
      </c>
    </row>
    <row r="1089" spans="1:8" x14ac:dyDescent="0.35">
      <c r="A1089" s="35" t="str">
        <f>B1081</f>
        <v xml:space="preserve">market for electricity, high voltage IT N2 </v>
      </c>
      <c r="B1089" s="35">
        <v>1</v>
      </c>
      <c r="C1089" t="s">
        <v>168</v>
      </c>
      <c r="D1089" t="s">
        <v>119</v>
      </c>
      <c r="F1089" t="s">
        <v>174</v>
      </c>
      <c r="G1089" t="s">
        <v>151</v>
      </c>
      <c r="H1089" t="s">
        <v>201</v>
      </c>
    </row>
    <row r="1090" spans="1:8" x14ac:dyDescent="0.35">
      <c r="A1090" s="35" t="str">
        <f>B1081</f>
        <v xml:space="preserve">market for electricity, high voltage IT N2 </v>
      </c>
      <c r="B1090" s="35">
        <v>2.3357870144476399E-2</v>
      </c>
      <c r="C1090" t="s">
        <v>168</v>
      </c>
      <c r="D1090" t="s">
        <v>119</v>
      </c>
      <c r="F1090" t="s">
        <v>134</v>
      </c>
      <c r="G1090" t="s">
        <v>151</v>
      </c>
    </row>
    <row r="1091" spans="1:8" x14ac:dyDescent="0.35">
      <c r="A1091" t="s">
        <v>92</v>
      </c>
      <c r="B1091" s="35">
        <f>imports2!K29</f>
        <v>1.7085942625630911E-2</v>
      </c>
      <c r="C1091" t="s">
        <v>168</v>
      </c>
      <c r="D1091" t="s">
        <v>119</v>
      </c>
      <c r="F1091" t="s">
        <v>134</v>
      </c>
      <c r="G1091" t="s">
        <v>151</v>
      </c>
    </row>
    <row r="1092" spans="1:8" x14ac:dyDescent="0.35">
      <c r="A1092" t="s">
        <v>91</v>
      </c>
      <c r="B1092" s="35">
        <f>imports2!K30</f>
        <v>3.0376022688869929E-2</v>
      </c>
      <c r="C1092" t="s">
        <v>168</v>
      </c>
      <c r="D1092" t="s">
        <v>119</v>
      </c>
      <c r="F1092" t="s">
        <v>134</v>
      </c>
      <c r="G1092" t="s">
        <v>151</v>
      </c>
    </row>
    <row r="1093" spans="1:8" x14ac:dyDescent="0.35">
      <c r="A1093" t="s">
        <v>97</v>
      </c>
      <c r="B1093" s="35">
        <f>imports2!I31</f>
        <v>4.911004801215172E-2</v>
      </c>
      <c r="C1093" t="s">
        <v>168</v>
      </c>
      <c r="D1093" t="s">
        <v>119</v>
      </c>
      <c r="F1093" t="s">
        <v>134</v>
      </c>
      <c r="G1093" t="s">
        <v>151</v>
      </c>
    </row>
    <row r="1094" spans="1:8" x14ac:dyDescent="0.35">
      <c r="A1094" s="9" t="s">
        <v>131</v>
      </c>
      <c r="B1094" s="35">
        <f>imports2!I30</f>
        <v>2.1734444785016883E-2</v>
      </c>
      <c r="C1094" t="s">
        <v>168</v>
      </c>
      <c r="D1094" t="s">
        <v>119</v>
      </c>
      <c r="F1094" t="s">
        <v>134</v>
      </c>
      <c r="G1094" t="s">
        <v>151</v>
      </c>
    </row>
    <row r="1095" spans="1:8" x14ac:dyDescent="0.35">
      <c r="A1095" t="s">
        <v>123</v>
      </c>
      <c r="B1095" s="35">
        <f>imports2!I29</f>
        <v>6.6363535802902293E-3</v>
      </c>
      <c r="C1095" t="s">
        <v>168</v>
      </c>
      <c r="D1095" t="s">
        <v>119</v>
      </c>
      <c r="F1095" t="s">
        <v>134</v>
      </c>
      <c r="G1095" t="s">
        <v>151</v>
      </c>
      <c r="H1095" t="s">
        <v>223</v>
      </c>
    </row>
    <row r="1096" spans="1:8" x14ac:dyDescent="0.35">
      <c r="A1096" t="s">
        <v>96</v>
      </c>
      <c r="B1096" s="35">
        <f>imports2!J28</f>
        <v>4.0763714178789885E-2</v>
      </c>
      <c r="C1096" t="s">
        <v>171</v>
      </c>
      <c r="D1096" t="s">
        <v>119</v>
      </c>
      <c r="F1096" t="s">
        <v>134</v>
      </c>
      <c r="G1096" t="s">
        <v>151</v>
      </c>
    </row>
    <row r="1097" spans="1:8" x14ac:dyDescent="0.35">
      <c r="A1097" s="10" t="s">
        <v>136</v>
      </c>
      <c r="B1097" s="35">
        <f>imports2!L28</f>
        <v>5.390249870409735E-2</v>
      </c>
      <c r="C1097" t="s">
        <v>168</v>
      </c>
      <c r="D1097" t="s">
        <v>119</v>
      </c>
      <c r="F1097" t="s">
        <v>134</v>
      </c>
      <c r="G1097" t="s">
        <v>151</v>
      </c>
      <c r="H1097" t="s">
        <v>198</v>
      </c>
    </row>
    <row r="1098" spans="1:8" x14ac:dyDescent="0.35">
      <c r="A1098" s="35" t="s">
        <v>335</v>
      </c>
      <c r="B1098" s="35">
        <f>imports2!N28*imports2!Y27</f>
        <v>1.4820330291191916E-2</v>
      </c>
      <c r="C1098" t="s">
        <v>31</v>
      </c>
      <c r="D1098" t="s">
        <v>119</v>
      </c>
      <c r="F1098" t="s">
        <v>134</v>
      </c>
      <c r="G1098" t="s">
        <v>151</v>
      </c>
    </row>
    <row r="1099" spans="1:8" x14ac:dyDescent="0.35">
      <c r="A1099" s="35" t="s">
        <v>156</v>
      </c>
      <c r="B1099" s="35">
        <f>imports2!N28*imports2!Y28</f>
        <v>2.1576405759772908E-2</v>
      </c>
      <c r="C1099" t="s">
        <v>130</v>
      </c>
      <c r="D1099" t="s">
        <v>119</v>
      </c>
      <c r="F1099" t="s">
        <v>134</v>
      </c>
      <c r="G1099" t="s">
        <v>151</v>
      </c>
    </row>
    <row r="1100" spans="1:8" x14ac:dyDescent="0.35">
      <c r="A1100" s="35" t="s">
        <v>156</v>
      </c>
      <c r="B1100" s="35">
        <f>imports2!$N$28*imports2!Y26</f>
        <v>3.6185874731225807E-5</v>
      </c>
      <c r="C1100" t="s">
        <v>252</v>
      </c>
      <c r="D1100" t="s">
        <v>119</v>
      </c>
      <c r="F1100" t="s">
        <v>134</v>
      </c>
      <c r="G1100" t="s">
        <v>151</v>
      </c>
    </row>
    <row r="1101" spans="1:8" x14ac:dyDescent="0.35">
      <c r="A1101" s="35" t="s">
        <v>156</v>
      </c>
      <c r="B1101" s="35">
        <f>imports2!$N$28*imports2!Y29</f>
        <v>1.8967884634918721E-5</v>
      </c>
      <c r="C1101" t="s">
        <v>253</v>
      </c>
      <c r="D1101" t="s">
        <v>119</v>
      </c>
      <c r="F1101" t="s">
        <v>134</v>
      </c>
      <c r="G1101" t="s">
        <v>151</v>
      </c>
    </row>
    <row r="1102" spans="1:8" x14ac:dyDescent="0.35">
      <c r="A1102" s="35" t="s">
        <v>156</v>
      </c>
      <c r="B1102" s="35">
        <f>imports2!$N$28*imports2!Y30</f>
        <v>1.1946559180011354E-3</v>
      </c>
      <c r="C1102" t="s">
        <v>250</v>
      </c>
      <c r="D1102" t="s">
        <v>119</v>
      </c>
      <c r="F1102" t="s">
        <v>134</v>
      </c>
      <c r="G1102" t="s">
        <v>151</v>
      </c>
    </row>
    <row r="1103" spans="1:8" x14ac:dyDescent="0.35">
      <c r="A1103" s="35" t="s">
        <v>156</v>
      </c>
      <c r="B1103" s="35">
        <f>imports2!$N$28*imports2!Y31</f>
        <v>5.0490465410198034E-3</v>
      </c>
      <c r="C1103" t="s">
        <v>254</v>
      </c>
      <c r="D1103" t="s">
        <v>119</v>
      </c>
      <c r="F1103" t="s">
        <v>134</v>
      </c>
      <c r="G1103" t="s">
        <v>151</v>
      </c>
    </row>
    <row r="1104" spans="1:8" x14ac:dyDescent="0.35">
      <c r="A1104" s="35" t="s">
        <v>156</v>
      </c>
      <c r="B1104" s="35">
        <f>imports2!$N$28*imports2!Y32</f>
        <v>5.5245142747605271E-5</v>
      </c>
      <c r="C1104" t="s">
        <v>255</v>
      </c>
      <c r="D1104" t="s">
        <v>119</v>
      </c>
      <c r="F1104" t="s">
        <v>134</v>
      </c>
      <c r="G1104" t="s">
        <v>151</v>
      </c>
      <c r="H1104" t="s">
        <v>200</v>
      </c>
    </row>
    <row r="1105" spans="1:8" x14ac:dyDescent="0.35">
      <c r="A1105" s="35" t="str">
        <f>A1090</f>
        <v xml:space="preserve">market for electricity, high voltage IT N2 </v>
      </c>
      <c r="B1105" s="35">
        <f>imports2!M28*1.5</f>
        <v>7.4210092933762087E-2</v>
      </c>
      <c r="C1105" t="s">
        <v>168</v>
      </c>
      <c r="D1105" t="s">
        <v>119</v>
      </c>
      <c r="F1105" t="s">
        <v>134</v>
      </c>
      <c r="G1105" t="s">
        <v>151</v>
      </c>
    </row>
    <row r="1106" spans="1:8" x14ac:dyDescent="0.35">
      <c r="A1106" t="s">
        <v>122</v>
      </c>
      <c r="B1106" s="35">
        <f>imports2!H29</f>
        <v>5.9591618739746291E-2</v>
      </c>
      <c r="C1106" t="s">
        <v>168</v>
      </c>
      <c r="D1106" t="s">
        <v>119</v>
      </c>
      <c r="F1106" t="s">
        <v>134</v>
      </c>
      <c r="G1106" t="s">
        <v>152</v>
      </c>
    </row>
    <row r="1107" spans="1:8" x14ac:dyDescent="0.35">
      <c r="A1107" t="s">
        <v>121</v>
      </c>
      <c r="B1107" s="35">
        <f>imports2!H30</f>
        <v>7.4214590977489642E-2</v>
      </c>
      <c r="C1107" t="s">
        <v>168</v>
      </c>
      <c r="D1107" t="s">
        <v>119</v>
      </c>
      <c r="F1107" t="s">
        <v>134</v>
      </c>
      <c r="G1107" t="s">
        <v>152</v>
      </c>
    </row>
    <row r="1108" spans="1:8" x14ac:dyDescent="0.35">
      <c r="A1108" t="s">
        <v>133</v>
      </c>
      <c r="B1108" s="35">
        <f>imports2!H31</f>
        <v>0.23034188291046737</v>
      </c>
      <c r="C1108" t="s">
        <v>168</v>
      </c>
      <c r="D1108" t="s">
        <v>119</v>
      </c>
      <c r="F1108" t="s">
        <v>134</v>
      </c>
      <c r="G1108" t="s">
        <v>152</v>
      </c>
    </row>
    <row r="1109" spans="1:8" x14ac:dyDescent="0.35">
      <c r="A1109" t="s">
        <v>125</v>
      </c>
      <c r="B1109" s="35">
        <f>imports2!R33</f>
        <v>6.6544044844740601E-9</v>
      </c>
      <c r="C1109" t="s">
        <v>127</v>
      </c>
      <c r="D1109" t="s">
        <v>138</v>
      </c>
      <c r="F1109" t="s">
        <v>134</v>
      </c>
      <c r="G1109" t="s">
        <v>101</v>
      </c>
    </row>
    <row r="1110" spans="1:8" x14ac:dyDescent="0.35">
      <c r="A1110" t="s">
        <v>124</v>
      </c>
      <c r="B1110" s="35">
        <f>imports2!R34</f>
        <v>1.9648610168655699E-10</v>
      </c>
      <c r="C1110" t="s">
        <v>127</v>
      </c>
      <c r="D1110" t="s">
        <v>138</v>
      </c>
      <c r="F1110" t="s">
        <v>134</v>
      </c>
      <c r="G1110" t="s">
        <v>102</v>
      </c>
    </row>
    <row r="1111" spans="1:8" x14ac:dyDescent="0.35">
      <c r="A1111" t="s">
        <v>157</v>
      </c>
      <c r="B1111" s="35">
        <f>imports2!R35</f>
        <v>1.6557078487408601E-10</v>
      </c>
      <c r="C1111" t="s">
        <v>127</v>
      </c>
      <c r="D1111" t="s">
        <v>138</v>
      </c>
      <c r="F1111" t="s">
        <v>134</v>
      </c>
      <c r="G1111" t="s">
        <v>103</v>
      </c>
    </row>
    <row r="1113" spans="1:8" x14ac:dyDescent="0.35">
      <c r="A1113" s="36" t="s">
        <v>19</v>
      </c>
      <c r="B1113" s="35" t="s">
        <v>314</v>
      </c>
    </row>
    <row r="1114" spans="1:8" x14ac:dyDescent="0.35">
      <c r="A1114" t="s">
        <v>20</v>
      </c>
      <c r="B1114" s="35">
        <v>1</v>
      </c>
    </row>
    <row r="1115" spans="1:8" x14ac:dyDescent="0.35">
      <c r="A1115" t="s">
        <v>21</v>
      </c>
      <c r="B1115" s="35" t="s">
        <v>120</v>
      </c>
    </row>
    <row r="1116" spans="1:8" x14ac:dyDescent="0.35">
      <c r="A1116" t="s">
        <v>22</v>
      </c>
      <c r="B1116" s="35" t="s">
        <v>151</v>
      </c>
    </row>
    <row r="1117" spans="1:8" x14ac:dyDescent="0.35">
      <c r="A1117" t="s">
        <v>23</v>
      </c>
      <c r="B1117" s="35" t="s">
        <v>171</v>
      </c>
    </row>
    <row r="1118" spans="1:8" x14ac:dyDescent="0.35">
      <c r="A1118" t="s">
        <v>24</v>
      </c>
      <c r="B1118" s="35" t="s">
        <v>119</v>
      </c>
    </row>
    <row r="1119" spans="1:8" x14ac:dyDescent="0.35">
      <c r="A1119" t="s">
        <v>25</v>
      </c>
      <c r="H1119" t="s">
        <v>21</v>
      </c>
    </row>
    <row r="1120" spans="1:8" x14ac:dyDescent="0.35">
      <c r="A1120" t="s">
        <v>26</v>
      </c>
      <c r="B1120" s="35" t="s">
        <v>27</v>
      </c>
      <c r="C1120" t="s">
        <v>23</v>
      </c>
      <c r="D1120" t="s">
        <v>24</v>
      </c>
      <c r="E1120" t="s">
        <v>28</v>
      </c>
      <c r="F1120" t="s">
        <v>29</v>
      </c>
      <c r="G1120" t="s">
        <v>22</v>
      </c>
      <c r="H1120" s="35" t="str">
        <f>B538</f>
        <v>RTE scenarios adapted from Ecoinvent - no background data altered</v>
      </c>
    </row>
    <row r="1121" spans="1:8" x14ac:dyDescent="0.35">
      <c r="A1121" s="35" t="str">
        <f>B1113</f>
        <v xml:space="preserve">market for electricity, high voltage ES N2 </v>
      </c>
      <c r="B1121" s="35">
        <v>1</v>
      </c>
      <c r="C1121" t="s">
        <v>171</v>
      </c>
      <c r="D1121" t="s">
        <v>119</v>
      </c>
      <c r="F1121" t="s">
        <v>174</v>
      </c>
      <c r="G1121" t="s">
        <v>151</v>
      </c>
      <c r="H1121" t="s">
        <v>201</v>
      </c>
    </row>
    <row r="1122" spans="1:8" x14ac:dyDescent="0.35">
      <c r="A1122" s="35" t="str">
        <f>B1113</f>
        <v xml:space="preserve">market for electricity, high voltage ES N2 </v>
      </c>
      <c r="B1122" s="35">
        <v>3.7364253070203898E-2</v>
      </c>
      <c r="C1122" t="s">
        <v>171</v>
      </c>
      <c r="D1122" t="s">
        <v>119</v>
      </c>
      <c r="F1122" t="s">
        <v>134</v>
      </c>
      <c r="G1122" t="s">
        <v>151</v>
      </c>
    </row>
    <row r="1123" spans="1:8" x14ac:dyDescent="0.35">
      <c r="A1123" t="s">
        <v>92</v>
      </c>
      <c r="B1123" s="35">
        <f>imports2!K40</f>
        <v>2.3717975097580838E-2</v>
      </c>
      <c r="C1123" t="s">
        <v>171</v>
      </c>
      <c r="D1123" t="s">
        <v>119</v>
      </c>
      <c r="F1123" t="s">
        <v>134</v>
      </c>
      <c r="G1123" t="s">
        <v>151</v>
      </c>
    </row>
    <row r="1124" spans="1:8" x14ac:dyDescent="0.35">
      <c r="A1124" t="s">
        <v>195</v>
      </c>
      <c r="B1124" s="35">
        <f>imports2!K41</f>
        <v>1.2218119891210072E-2</v>
      </c>
      <c r="C1124" t="s">
        <v>171</v>
      </c>
      <c r="D1124" t="s">
        <v>119</v>
      </c>
      <c r="F1124" t="s">
        <v>134</v>
      </c>
      <c r="G1124" t="s">
        <v>151</v>
      </c>
    </row>
    <row r="1125" spans="1:8" x14ac:dyDescent="0.35">
      <c r="A1125" t="s">
        <v>97</v>
      </c>
      <c r="B1125" s="35">
        <f>imports2!I40</f>
        <v>0.11161447551055156</v>
      </c>
      <c r="C1125" t="s">
        <v>171</v>
      </c>
      <c r="D1125" t="s">
        <v>119</v>
      </c>
      <c r="F1125" t="s">
        <v>134</v>
      </c>
      <c r="G1125" t="s">
        <v>151</v>
      </c>
    </row>
    <row r="1126" spans="1:8" x14ac:dyDescent="0.35">
      <c r="A1126" s="9" t="s">
        <v>131</v>
      </c>
      <c r="B1126" s="35">
        <f>imports2!I42</f>
        <v>6.1438480972824956E-2</v>
      </c>
      <c r="C1126" t="s">
        <v>171</v>
      </c>
      <c r="D1126" t="s">
        <v>119</v>
      </c>
      <c r="F1126" t="s">
        <v>134</v>
      </c>
      <c r="G1126" t="s">
        <v>151</v>
      </c>
    </row>
    <row r="1127" spans="1:8" x14ac:dyDescent="0.35">
      <c r="A1127" t="s">
        <v>123</v>
      </c>
      <c r="B1127" s="35">
        <f>imports2!I41</f>
        <v>2.9638127672880423E-4</v>
      </c>
      <c r="C1127" t="s">
        <v>171</v>
      </c>
      <c r="D1127" t="s">
        <v>119</v>
      </c>
      <c r="F1127" t="s">
        <v>134</v>
      </c>
      <c r="G1127" t="s">
        <v>151</v>
      </c>
    </row>
    <row r="1128" spans="1:8" x14ac:dyDescent="0.35">
      <c r="A1128" t="s">
        <v>96</v>
      </c>
      <c r="B1128" s="35">
        <f>imports2!J39</f>
        <v>2.8120899537284662E-2</v>
      </c>
      <c r="C1128" t="s">
        <v>171</v>
      </c>
      <c r="D1128" t="s">
        <v>119</v>
      </c>
      <c r="F1128" t="s">
        <v>134</v>
      </c>
      <c r="G1128" t="s">
        <v>151</v>
      </c>
    </row>
    <row r="1129" spans="1:8" x14ac:dyDescent="0.35">
      <c r="A1129" s="10" t="s">
        <v>136</v>
      </c>
      <c r="B1129" s="35">
        <f>imports2!L39</f>
        <v>1.9025342775696247E-2</v>
      </c>
      <c r="C1129" t="s">
        <v>171</v>
      </c>
      <c r="D1129" t="s">
        <v>119</v>
      </c>
      <c r="F1129" t="s">
        <v>134</v>
      </c>
      <c r="G1129" t="s">
        <v>151</v>
      </c>
      <c r="H1129" t="s">
        <v>200</v>
      </c>
    </row>
    <row r="1130" spans="1:8" x14ac:dyDescent="0.35">
      <c r="A1130" s="35" t="str">
        <f>A1121</f>
        <v xml:space="preserve">market for electricity, high voltage ES N2 </v>
      </c>
      <c r="B1130" s="35">
        <f>imports2!M39*1.5</f>
        <v>6.9723253449038916E-2</v>
      </c>
      <c r="C1130" t="s">
        <v>171</v>
      </c>
      <c r="D1130" t="s">
        <v>119</v>
      </c>
      <c r="F1130" t="s">
        <v>134</v>
      </c>
      <c r="G1130" t="s">
        <v>151</v>
      </c>
    </row>
    <row r="1131" spans="1:8" x14ac:dyDescent="0.35">
      <c r="A1131" t="s">
        <v>122</v>
      </c>
      <c r="B1131" s="35">
        <f>imports2!H40</f>
        <v>6.4011201986494251E-2</v>
      </c>
      <c r="C1131" t="s">
        <v>171</v>
      </c>
      <c r="D1131" t="s">
        <v>119</v>
      </c>
      <c r="F1131" t="s">
        <v>134</v>
      </c>
      <c r="G1131" t="s">
        <v>152</v>
      </c>
    </row>
    <row r="1132" spans="1:8" x14ac:dyDescent="0.35">
      <c r="A1132" t="s">
        <v>121</v>
      </c>
      <c r="B1132" s="35">
        <f>imports2!H41</f>
        <v>7.974407572717343E-2</v>
      </c>
      <c r="C1132" t="s">
        <v>171</v>
      </c>
      <c r="D1132" t="s">
        <v>119</v>
      </c>
      <c r="F1132" t="s">
        <v>134</v>
      </c>
      <c r="G1132" t="s">
        <v>152</v>
      </c>
    </row>
    <row r="1133" spans="1:8" x14ac:dyDescent="0.35">
      <c r="A1133" t="s">
        <v>133</v>
      </c>
      <c r="B1133" s="35">
        <f>imports2!H42</f>
        <v>9.6772597848279851E-2</v>
      </c>
      <c r="C1133" t="s">
        <v>171</v>
      </c>
      <c r="D1133" t="s">
        <v>119</v>
      </c>
      <c r="F1133" t="s">
        <v>134</v>
      </c>
      <c r="G1133" t="s">
        <v>152</v>
      </c>
    </row>
    <row r="1134" spans="1:8" x14ac:dyDescent="0.35">
      <c r="A1134" t="s">
        <v>125</v>
      </c>
      <c r="B1134" s="35">
        <f>imports2!R45</f>
        <v>4.94760991840923E-9</v>
      </c>
      <c r="C1134" t="s">
        <v>127</v>
      </c>
      <c r="D1134" t="s">
        <v>138</v>
      </c>
      <c r="F1134" t="s">
        <v>134</v>
      </c>
      <c r="G1134" t="s">
        <v>101</v>
      </c>
    </row>
    <row r="1135" spans="1:8" x14ac:dyDescent="0.35">
      <c r="A1135" t="s">
        <v>124</v>
      </c>
      <c r="B1135" s="35">
        <f>imports2!R46</f>
        <v>1.2961596435765799E-10</v>
      </c>
      <c r="C1135" t="s">
        <v>127</v>
      </c>
      <c r="D1135" t="s">
        <v>138</v>
      </c>
      <c r="F1135" t="s">
        <v>134</v>
      </c>
      <c r="G1135" t="s">
        <v>102</v>
      </c>
    </row>
    <row r="1136" spans="1:8" x14ac:dyDescent="0.35">
      <c r="A1136" t="s">
        <v>157</v>
      </c>
      <c r="B1136" s="35">
        <f>imports2!R47</f>
        <v>1.0194905896113601E-10</v>
      </c>
      <c r="C1136" t="s">
        <v>127</v>
      </c>
      <c r="D1136" t="s">
        <v>138</v>
      </c>
      <c r="F1136" t="s">
        <v>134</v>
      </c>
      <c r="G1136" t="s">
        <v>103</v>
      </c>
    </row>
    <row r="1138" spans="1:8" x14ac:dyDescent="0.35">
      <c r="A1138" s="36" t="s">
        <v>19</v>
      </c>
      <c r="B1138" s="35" t="s">
        <v>313</v>
      </c>
    </row>
    <row r="1139" spans="1:8" x14ac:dyDescent="0.35">
      <c r="A1139" t="s">
        <v>20</v>
      </c>
      <c r="B1139" s="35">
        <v>1</v>
      </c>
    </row>
    <row r="1140" spans="1:8" x14ac:dyDescent="0.35">
      <c r="A1140" t="s">
        <v>21</v>
      </c>
      <c r="B1140" s="35" t="s">
        <v>120</v>
      </c>
    </row>
    <row r="1141" spans="1:8" x14ac:dyDescent="0.35">
      <c r="A1141" t="s">
        <v>22</v>
      </c>
      <c r="B1141" s="35" t="s">
        <v>151</v>
      </c>
    </row>
    <row r="1142" spans="1:8" x14ac:dyDescent="0.35">
      <c r="A1142" t="s">
        <v>23</v>
      </c>
      <c r="B1142" s="35" t="s">
        <v>12</v>
      </c>
    </row>
    <row r="1143" spans="1:8" x14ac:dyDescent="0.35">
      <c r="A1143" t="s">
        <v>24</v>
      </c>
      <c r="B1143" s="35" t="s">
        <v>119</v>
      </c>
    </row>
    <row r="1144" spans="1:8" x14ac:dyDescent="0.35">
      <c r="A1144" t="s">
        <v>25</v>
      </c>
      <c r="H1144" t="s">
        <v>21</v>
      </c>
    </row>
    <row r="1145" spans="1:8" x14ac:dyDescent="0.35">
      <c r="A1145" t="s">
        <v>26</v>
      </c>
      <c r="B1145" s="35" t="s">
        <v>27</v>
      </c>
      <c r="C1145" t="s">
        <v>23</v>
      </c>
      <c r="D1145" t="s">
        <v>24</v>
      </c>
      <c r="E1145" t="s">
        <v>28</v>
      </c>
      <c r="F1145" t="s">
        <v>29</v>
      </c>
      <c r="G1145" t="s">
        <v>22</v>
      </c>
      <c r="H1145" s="35" t="str">
        <f>B564</f>
        <v>RTE scenarios adapted from Ecoinvent - no background data altered</v>
      </c>
    </row>
    <row r="1146" spans="1:8" x14ac:dyDescent="0.35">
      <c r="A1146" s="35" t="str">
        <f>B1138</f>
        <v xml:space="preserve">market for electricity, high voltage BE N2 </v>
      </c>
      <c r="B1146" s="35">
        <v>1</v>
      </c>
      <c r="C1146" t="s">
        <v>12</v>
      </c>
      <c r="D1146" t="s">
        <v>119</v>
      </c>
      <c r="F1146" t="s">
        <v>174</v>
      </c>
      <c r="G1146" t="s">
        <v>151</v>
      </c>
      <c r="H1146" t="s">
        <v>230</v>
      </c>
    </row>
    <row r="1147" spans="1:8" x14ac:dyDescent="0.35">
      <c r="A1147" s="35" t="str">
        <f>B1138</f>
        <v xml:space="preserve">market for electricity, high voltage BE N2 </v>
      </c>
      <c r="B1147" s="35">
        <f>imports2!F71+imports2!G49</f>
        <v>0.22922391263786926</v>
      </c>
      <c r="C1147" t="s">
        <v>12</v>
      </c>
      <c r="D1147" t="s">
        <v>119</v>
      </c>
      <c r="F1147" t="s">
        <v>134</v>
      </c>
      <c r="G1147" t="s">
        <v>151</v>
      </c>
    </row>
    <row r="1148" spans="1:8" x14ac:dyDescent="0.35">
      <c r="A1148" t="s">
        <v>90</v>
      </c>
      <c r="B1148" s="35">
        <f>imports2!G50</f>
        <v>9.1908439025275221E-3</v>
      </c>
      <c r="C1148" t="s">
        <v>12</v>
      </c>
      <c r="D1148" t="s">
        <v>119</v>
      </c>
      <c r="F1148" t="s">
        <v>134</v>
      </c>
      <c r="G1148" t="s">
        <v>151</v>
      </c>
    </row>
    <row r="1149" spans="1:8" x14ac:dyDescent="0.35">
      <c r="A1149" t="s">
        <v>92</v>
      </c>
      <c r="B1149" s="35">
        <f>imports2!G53</f>
        <v>3.1570005215688281E-3</v>
      </c>
      <c r="C1149" t="s">
        <v>12</v>
      </c>
      <c r="D1149" t="s">
        <v>119</v>
      </c>
      <c r="F1149" t="s">
        <v>134</v>
      </c>
      <c r="G1149" t="s">
        <v>151</v>
      </c>
    </row>
    <row r="1150" spans="1:8" x14ac:dyDescent="0.35">
      <c r="A1150" t="s">
        <v>96</v>
      </c>
      <c r="B1150" s="35">
        <f>imports2!G54</f>
        <v>4.009085504727028E-2</v>
      </c>
      <c r="C1150" t="s">
        <v>12</v>
      </c>
      <c r="D1150" t="s">
        <v>119</v>
      </c>
      <c r="F1150" t="s">
        <v>134</v>
      </c>
      <c r="G1150" t="s">
        <v>151</v>
      </c>
    </row>
    <row r="1151" spans="1:8" x14ac:dyDescent="0.35">
      <c r="A1151" t="s">
        <v>132</v>
      </c>
      <c r="B1151" s="35">
        <f>imports2!G56</f>
        <v>0.43200142560211408</v>
      </c>
      <c r="C1151" t="s">
        <v>12</v>
      </c>
      <c r="D1151" t="s">
        <v>119</v>
      </c>
      <c r="F1151" t="s">
        <v>134</v>
      </c>
      <c r="G1151" t="s">
        <v>151</v>
      </c>
    </row>
    <row r="1152" spans="1:8" x14ac:dyDescent="0.35">
      <c r="A1152" t="s">
        <v>123</v>
      </c>
      <c r="B1152" s="35">
        <f>imports2!G58</f>
        <v>6.2704498274183266E-3</v>
      </c>
      <c r="C1152" t="s">
        <v>12</v>
      </c>
      <c r="D1152" t="s">
        <v>119</v>
      </c>
      <c r="F1152" t="s">
        <v>134</v>
      </c>
      <c r="G1152" t="s">
        <v>151</v>
      </c>
    </row>
    <row r="1153" spans="1:8" x14ac:dyDescent="0.35">
      <c r="A1153" t="s">
        <v>218</v>
      </c>
      <c r="B1153" s="35">
        <f>imports2!G63</f>
        <v>2.2117724493565531E-2</v>
      </c>
      <c r="C1153" t="s">
        <v>12</v>
      </c>
      <c r="D1153" t="s">
        <v>119</v>
      </c>
      <c r="F1153" t="s">
        <v>134</v>
      </c>
      <c r="G1153" t="s">
        <v>151</v>
      </c>
    </row>
    <row r="1154" spans="1:8" x14ac:dyDescent="0.35">
      <c r="A1154" t="s">
        <v>97</v>
      </c>
      <c r="B1154" s="35">
        <f>imports2!G64</f>
        <v>5.3143174443699585E-2</v>
      </c>
      <c r="C1154" t="s">
        <v>12</v>
      </c>
      <c r="D1154" t="s">
        <v>119</v>
      </c>
      <c r="F1154" t="s">
        <v>134</v>
      </c>
      <c r="G1154" t="s">
        <v>151</v>
      </c>
    </row>
    <row r="1155" spans="1:8" x14ac:dyDescent="0.35">
      <c r="A1155" t="s">
        <v>196</v>
      </c>
      <c r="B1155" s="35">
        <f>imports2!G65</f>
        <v>3.3712085572547611E-3</v>
      </c>
      <c r="C1155" t="s">
        <v>12</v>
      </c>
      <c r="D1155" t="s">
        <v>119</v>
      </c>
      <c r="F1155" t="s">
        <v>134</v>
      </c>
      <c r="G1155" t="s">
        <v>151</v>
      </c>
    </row>
    <row r="1156" spans="1:8" x14ac:dyDescent="0.35">
      <c r="A1156" t="s">
        <v>131</v>
      </c>
      <c r="B1156" s="35">
        <f>imports2!G70</f>
        <v>1.5753243368237799E-3</v>
      </c>
      <c r="C1156" t="s">
        <v>12</v>
      </c>
      <c r="D1156" t="s">
        <v>119</v>
      </c>
      <c r="F1156" t="s">
        <v>134</v>
      </c>
      <c r="G1156" t="s">
        <v>151</v>
      </c>
    </row>
    <row r="1157" spans="1:8" x14ac:dyDescent="0.35">
      <c r="A1157" s="35" t="s">
        <v>311</v>
      </c>
      <c r="B1157" s="35">
        <f>imports2!H69</f>
        <v>1.3346874905555593E-3</v>
      </c>
      <c r="C1157" t="s">
        <v>169</v>
      </c>
      <c r="D1157" t="s">
        <v>119</v>
      </c>
      <c r="F1157" t="s">
        <v>134</v>
      </c>
      <c r="G1157" t="s">
        <v>151</v>
      </c>
      <c r="H1157" t="s">
        <v>198</v>
      </c>
    </row>
    <row r="1158" spans="1:8" x14ac:dyDescent="0.35">
      <c r="A1158" s="35" t="s">
        <v>336</v>
      </c>
      <c r="B1158" s="35">
        <f>imports2!H68</f>
        <v>6.9830342662515907E-2</v>
      </c>
      <c r="C1158" t="s">
        <v>31</v>
      </c>
      <c r="D1158" t="s">
        <v>119</v>
      </c>
      <c r="F1158" t="s">
        <v>134</v>
      </c>
      <c r="G1158" t="s">
        <v>151</v>
      </c>
    </row>
    <row r="1159" spans="1:8" x14ac:dyDescent="0.35">
      <c r="A1159" t="s">
        <v>156</v>
      </c>
      <c r="B1159" s="35">
        <f>imports2!H51</f>
        <v>8.5741000184423437E-4</v>
      </c>
      <c r="C1159" t="s">
        <v>256</v>
      </c>
      <c r="D1159" t="s">
        <v>119</v>
      </c>
      <c r="F1159" t="s">
        <v>134</v>
      </c>
      <c r="G1159" t="s">
        <v>151</v>
      </c>
    </row>
    <row r="1160" spans="1:8" x14ac:dyDescent="0.35">
      <c r="A1160" t="s">
        <v>156</v>
      </c>
      <c r="B1160" s="35">
        <f>imports2!H67</f>
        <v>6.2443100823966341E-2</v>
      </c>
      <c r="C1160" t="s">
        <v>247</v>
      </c>
      <c r="D1160" t="s">
        <v>119</v>
      </c>
      <c r="F1160" t="s">
        <v>134</v>
      </c>
      <c r="G1160" t="s">
        <v>151</v>
      </c>
    </row>
    <row r="1161" spans="1:8" x14ac:dyDescent="0.35">
      <c r="A1161" s="9" t="s">
        <v>122</v>
      </c>
      <c r="B1161" s="35">
        <f>imports2!H77</f>
        <v>2.0631916101271498E-2</v>
      </c>
      <c r="C1161" t="s">
        <v>12</v>
      </c>
      <c r="D1161" t="s">
        <v>119</v>
      </c>
      <c r="F1161" t="s">
        <v>134</v>
      </c>
      <c r="G1161" t="s">
        <v>152</v>
      </c>
    </row>
    <row r="1162" spans="1:8" x14ac:dyDescent="0.35">
      <c r="A1162" s="9" t="s">
        <v>121</v>
      </c>
      <c r="B1162" s="35">
        <f>imports2!H78</f>
        <v>4.1263832202542997E-2</v>
      </c>
      <c r="C1162" t="s">
        <v>12</v>
      </c>
      <c r="D1162" t="s">
        <v>119</v>
      </c>
      <c r="F1162" t="s">
        <v>134</v>
      </c>
      <c r="G1162" t="s">
        <v>152</v>
      </c>
    </row>
    <row r="1163" spans="1:8" x14ac:dyDescent="0.35">
      <c r="A1163" t="s">
        <v>133</v>
      </c>
      <c r="B1163" s="35">
        <f>imports2!H79</f>
        <v>2.0631916101271498E-2</v>
      </c>
      <c r="C1163" t="s">
        <v>12</v>
      </c>
      <c r="D1163" t="s">
        <v>119</v>
      </c>
      <c r="F1163" t="s">
        <v>134</v>
      </c>
      <c r="G1163" t="s">
        <v>152</v>
      </c>
    </row>
    <row r="1164" spans="1:8" x14ac:dyDescent="0.35">
      <c r="A1164" t="s">
        <v>125</v>
      </c>
      <c r="B1164" s="35">
        <f>imports2!G74</f>
        <v>2.1426993590677398E-9</v>
      </c>
      <c r="C1164" t="s">
        <v>127</v>
      </c>
      <c r="D1164" t="s">
        <v>138</v>
      </c>
      <c r="F1164" t="s">
        <v>134</v>
      </c>
      <c r="G1164" t="s">
        <v>101</v>
      </c>
    </row>
    <row r="1165" spans="1:8" x14ac:dyDescent="0.35">
      <c r="A1165" t="s">
        <v>124</v>
      </c>
      <c r="B1165" s="35">
        <f>imports2!G75</f>
        <v>1.16401360225082E-9</v>
      </c>
      <c r="C1165" t="s">
        <v>127</v>
      </c>
      <c r="D1165" t="s">
        <v>138</v>
      </c>
      <c r="F1165" t="s">
        <v>134</v>
      </c>
      <c r="G1165" t="s">
        <v>102</v>
      </c>
    </row>
    <row r="1168" spans="1:8" x14ac:dyDescent="0.35">
      <c r="A1168" s="36" t="s">
        <v>19</v>
      </c>
      <c r="B1168" s="35" t="s">
        <v>318</v>
      </c>
    </row>
    <row r="1169" spans="1:8" x14ac:dyDescent="0.35">
      <c r="A1169" t="s">
        <v>20</v>
      </c>
      <c r="B1169" s="35">
        <v>1</v>
      </c>
    </row>
    <row r="1170" spans="1:8" x14ac:dyDescent="0.35">
      <c r="A1170" t="s">
        <v>21</v>
      </c>
      <c r="B1170" s="35" t="s">
        <v>120</v>
      </c>
    </row>
    <row r="1171" spans="1:8" x14ac:dyDescent="0.35">
      <c r="A1171" t="s">
        <v>22</v>
      </c>
      <c r="B1171" s="35" t="s">
        <v>151</v>
      </c>
    </row>
    <row r="1172" spans="1:8" x14ac:dyDescent="0.35">
      <c r="A1172" t="s">
        <v>23</v>
      </c>
      <c r="B1172" s="35" t="s">
        <v>170</v>
      </c>
    </row>
    <row r="1173" spans="1:8" x14ac:dyDescent="0.35">
      <c r="A1173" t="s">
        <v>24</v>
      </c>
      <c r="B1173" s="35" t="s">
        <v>119</v>
      </c>
    </row>
    <row r="1174" spans="1:8" x14ac:dyDescent="0.35">
      <c r="A1174" t="s">
        <v>25</v>
      </c>
      <c r="H1174" t="s">
        <v>21</v>
      </c>
    </row>
    <row r="1175" spans="1:8" x14ac:dyDescent="0.35">
      <c r="A1175" t="s">
        <v>26</v>
      </c>
      <c r="B1175" s="35" t="s">
        <v>27</v>
      </c>
      <c r="C1175" t="s">
        <v>23</v>
      </c>
      <c r="D1175" t="s">
        <v>24</v>
      </c>
      <c r="E1175" t="s">
        <v>28</v>
      </c>
      <c r="F1175" t="s">
        <v>29</v>
      </c>
      <c r="G1175" t="s">
        <v>22</v>
      </c>
      <c r="H1175" s="35" t="str">
        <f>B448</f>
        <v>RTE scenarios adapted from Ecoinvent - no background data altered</v>
      </c>
    </row>
    <row r="1176" spans="1:8" x14ac:dyDescent="0.35">
      <c r="A1176" s="35" t="str">
        <f>B1168</f>
        <v xml:space="preserve">market for electricity, high voltage DE N03 </v>
      </c>
      <c r="B1176" s="35">
        <v>1</v>
      </c>
      <c r="C1176" t="s">
        <v>170</v>
      </c>
      <c r="D1176" t="s">
        <v>119</v>
      </c>
      <c r="F1176" t="s">
        <v>174</v>
      </c>
      <c r="G1176" t="s">
        <v>151</v>
      </c>
      <c r="H1176" t="s">
        <v>201</v>
      </c>
    </row>
    <row r="1177" spans="1:8" x14ac:dyDescent="0.35">
      <c r="A1177" s="35" t="str">
        <f>B1168</f>
        <v xml:space="preserve">market for electricity, high voltage DE N03 </v>
      </c>
      <c r="B1177" s="35">
        <v>2.1779170075109801E-2</v>
      </c>
      <c r="C1177" t="s">
        <v>170</v>
      </c>
      <c r="D1177" t="s">
        <v>119</v>
      </c>
      <c r="F1177" t="s">
        <v>134</v>
      </c>
      <c r="G1177" t="s">
        <v>151</v>
      </c>
    </row>
    <row r="1178" spans="1:8" x14ac:dyDescent="0.35">
      <c r="A1178" t="s">
        <v>195</v>
      </c>
      <c r="B1178" s="35">
        <f>imports2!K6</f>
        <v>1.659558553020022E-2</v>
      </c>
      <c r="C1178" t="s">
        <v>170</v>
      </c>
      <c r="D1178" t="s">
        <v>119</v>
      </c>
      <c r="F1178" t="s">
        <v>134</v>
      </c>
      <c r="G1178" t="s">
        <v>151</v>
      </c>
    </row>
    <row r="1179" spans="1:8" x14ac:dyDescent="0.35">
      <c r="A1179" t="s">
        <v>97</v>
      </c>
      <c r="B1179" s="35">
        <f>imports2!I8</f>
        <v>0.27054578589139044</v>
      </c>
      <c r="C1179" t="s">
        <v>170</v>
      </c>
      <c r="D1179" t="s">
        <v>119</v>
      </c>
      <c r="F1179" t="s">
        <v>134</v>
      </c>
      <c r="G1179" t="s">
        <v>151</v>
      </c>
    </row>
    <row r="1180" spans="1:8" x14ac:dyDescent="0.35">
      <c r="A1180" s="9" t="s">
        <v>131</v>
      </c>
      <c r="B1180" s="35">
        <f>imports2!I7</f>
        <v>4.9312830192547452E-2</v>
      </c>
      <c r="C1180" t="s">
        <v>170</v>
      </c>
      <c r="D1180" t="s">
        <v>119</v>
      </c>
      <c r="F1180" t="s">
        <v>134</v>
      </c>
      <c r="G1180" t="s">
        <v>151</v>
      </c>
    </row>
    <row r="1181" spans="1:8" x14ac:dyDescent="0.35">
      <c r="A1181" t="s">
        <v>123</v>
      </c>
      <c r="B1181" s="35">
        <f>imports2!I9</f>
        <v>2.9626981034993907E-2</v>
      </c>
      <c r="C1181" t="s">
        <v>170</v>
      </c>
      <c r="D1181" t="s">
        <v>119</v>
      </c>
      <c r="F1181" t="s">
        <v>134</v>
      </c>
      <c r="G1181" t="s">
        <v>151</v>
      </c>
    </row>
    <row r="1182" spans="1:8" x14ac:dyDescent="0.35">
      <c r="A1182" t="s">
        <v>96</v>
      </c>
      <c r="B1182" s="35">
        <f>imports2!J6</f>
        <v>0.258390264249312</v>
      </c>
      <c r="C1182" t="s">
        <v>170</v>
      </c>
      <c r="D1182" t="s">
        <v>119</v>
      </c>
      <c r="F1182" t="s">
        <v>134</v>
      </c>
      <c r="G1182" t="s">
        <v>151</v>
      </c>
    </row>
    <row r="1183" spans="1:8" x14ac:dyDescent="0.35">
      <c r="A1183" s="10" t="s">
        <v>136</v>
      </c>
      <c r="B1183" s="35">
        <f>imports2!L6</f>
        <v>0.10321602730126453</v>
      </c>
      <c r="C1183" t="s">
        <v>170</v>
      </c>
      <c r="D1183" t="s">
        <v>119</v>
      </c>
      <c r="F1183" t="s">
        <v>134</v>
      </c>
      <c r="G1183" t="s">
        <v>151</v>
      </c>
      <c r="H1183" t="s">
        <v>198</v>
      </c>
    </row>
    <row r="1184" spans="1:8" x14ac:dyDescent="0.35">
      <c r="A1184" s="35" t="s">
        <v>337</v>
      </c>
      <c r="B1184" s="35">
        <f>imports2!N6*imports2!Y3</f>
        <v>2.5669550461059169E-2</v>
      </c>
      <c r="C1184" t="s">
        <v>31</v>
      </c>
      <c r="D1184" t="s">
        <v>119</v>
      </c>
      <c r="F1184" t="s">
        <v>134</v>
      </c>
      <c r="G1184" t="s">
        <v>151</v>
      </c>
      <c r="H1184" t="s">
        <v>216</v>
      </c>
    </row>
    <row r="1185" spans="1:8" x14ac:dyDescent="0.35">
      <c r="A1185" s="35" t="s">
        <v>156</v>
      </c>
      <c r="B1185" s="35">
        <f>imports2!N6*imports2!Y7</f>
        <v>1.1019349007980479E-2</v>
      </c>
      <c r="C1185" t="s">
        <v>130</v>
      </c>
      <c r="D1185" t="s">
        <v>119</v>
      </c>
      <c r="F1185" t="s">
        <v>134</v>
      </c>
      <c r="G1185" t="s">
        <v>151</v>
      </c>
    </row>
    <row r="1186" spans="1:8" x14ac:dyDescent="0.35">
      <c r="A1186" s="35" t="s">
        <v>156</v>
      </c>
      <c r="B1186" s="35">
        <f>imports2!$N$6*imports2!Y4</f>
        <v>5.0543178546670385E-3</v>
      </c>
      <c r="C1186" t="s">
        <v>246</v>
      </c>
      <c r="D1186" t="s">
        <v>119</v>
      </c>
      <c r="F1186" t="s">
        <v>134</v>
      </c>
      <c r="G1186" t="s">
        <v>151</v>
      </c>
    </row>
    <row r="1187" spans="1:8" x14ac:dyDescent="0.35">
      <c r="A1187" s="35" t="s">
        <v>156</v>
      </c>
      <c r="B1187" s="35">
        <f>imports2!$N$6*imports2!Y5</f>
        <v>8.3089711736804503E-3</v>
      </c>
      <c r="C1187" t="s">
        <v>247</v>
      </c>
      <c r="D1187" t="s">
        <v>119</v>
      </c>
      <c r="F1187" t="s">
        <v>134</v>
      </c>
      <c r="G1187" t="s">
        <v>151</v>
      </c>
    </row>
    <row r="1188" spans="1:8" x14ac:dyDescent="0.35">
      <c r="A1188" s="35" t="s">
        <v>156</v>
      </c>
      <c r="B1188" s="35">
        <f>imports2!$N$6*imports2!Y6</f>
        <v>3.2932901996355329E-5</v>
      </c>
      <c r="C1188" t="s">
        <v>248</v>
      </c>
      <c r="D1188" t="s">
        <v>119</v>
      </c>
      <c r="F1188" t="s">
        <v>134</v>
      </c>
      <c r="G1188" t="s">
        <v>151</v>
      </c>
    </row>
    <row r="1189" spans="1:8" x14ac:dyDescent="0.35">
      <c r="A1189" s="35" t="s">
        <v>156</v>
      </c>
      <c r="B1189" s="35">
        <f>imports2!$N$6*imports2!Y8</f>
        <v>2.1966245631568995E-3</v>
      </c>
      <c r="C1189" t="s">
        <v>249</v>
      </c>
      <c r="D1189" t="s">
        <v>119</v>
      </c>
      <c r="F1189" t="s">
        <v>134</v>
      </c>
      <c r="G1189" t="s">
        <v>151</v>
      </c>
    </row>
    <row r="1190" spans="1:8" x14ac:dyDescent="0.35">
      <c r="A1190" s="35" t="s">
        <v>156</v>
      </c>
      <c r="B1190" s="35">
        <f>imports2!$N$6*imports2!Y9</f>
        <v>8.0290415067114304E-3</v>
      </c>
      <c r="C1190" t="s">
        <v>250</v>
      </c>
      <c r="D1190" t="s">
        <v>119</v>
      </c>
      <c r="F1190" t="s">
        <v>134</v>
      </c>
      <c r="G1190" t="s">
        <v>151</v>
      </c>
    </row>
    <row r="1191" spans="1:8" x14ac:dyDescent="0.35">
      <c r="A1191" s="35" t="s">
        <v>156</v>
      </c>
      <c r="B1191" s="35">
        <f>imports2!$N$6*imports2!Y10</f>
        <v>5.6726923688722062E-3</v>
      </c>
      <c r="C1191" t="s">
        <v>251</v>
      </c>
      <c r="D1191" t="s">
        <v>119</v>
      </c>
      <c r="F1191" t="s">
        <v>134</v>
      </c>
      <c r="G1191" t="s">
        <v>151</v>
      </c>
      <c r="H1191" t="s">
        <v>200</v>
      </c>
    </row>
    <row r="1192" spans="1:8" x14ac:dyDescent="0.35">
      <c r="A1192" s="35" t="str">
        <f>A1177</f>
        <v xml:space="preserve">market for electricity, high voltage DE N03 </v>
      </c>
      <c r="B1192" s="35">
        <f>imports2!M6*1.5</f>
        <v>4.567915761376859E-2</v>
      </c>
      <c r="C1192" t="s">
        <v>170</v>
      </c>
      <c r="D1192" t="s">
        <v>119</v>
      </c>
      <c r="F1192" t="s">
        <v>134</v>
      </c>
      <c r="G1192" t="s">
        <v>151</v>
      </c>
    </row>
    <row r="1193" spans="1:8" x14ac:dyDescent="0.35">
      <c r="A1193" t="s">
        <v>122</v>
      </c>
      <c r="B1193" s="35">
        <f>imports2!H7</f>
        <v>2.8781564673414417E-2</v>
      </c>
      <c r="C1193" t="s">
        <v>170</v>
      </c>
      <c r="D1193" t="s">
        <v>119</v>
      </c>
      <c r="F1193" t="s">
        <v>134</v>
      </c>
      <c r="G1193" t="s">
        <v>152</v>
      </c>
    </row>
    <row r="1194" spans="1:8" x14ac:dyDescent="0.35">
      <c r="A1194" t="s">
        <v>121</v>
      </c>
      <c r="B1194" s="35">
        <f>imports2!H8</f>
        <v>3.5844168946948626E-2</v>
      </c>
      <c r="C1194" t="s">
        <v>170</v>
      </c>
      <c r="D1194" t="s">
        <v>119</v>
      </c>
      <c r="F1194" t="s">
        <v>134</v>
      </c>
      <c r="G1194" t="s">
        <v>152</v>
      </c>
    </row>
    <row r="1195" spans="1:8" x14ac:dyDescent="0.35">
      <c r="A1195" t="s">
        <v>133</v>
      </c>
      <c r="B1195" s="35">
        <f>imports2!H9</f>
        <v>0.11125054059929187</v>
      </c>
      <c r="C1195" t="s">
        <v>170</v>
      </c>
      <c r="D1195" t="s">
        <v>119</v>
      </c>
      <c r="F1195" t="s">
        <v>134</v>
      </c>
      <c r="G1195" t="s">
        <v>152</v>
      </c>
    </row>
    <row r="1196" spans="1:8" x14ac:dyDescent="0.35">
      <c r="A1196" t="s">
        <v>125</v>
      </c>
      <c r="B1196" s="35">
        <f>imports2!S10</f>
        <v>2.1621783573657501E-9</v>
      </c>
      <c r="C1196" t="s">
        <v>127</v>
      </c>
      <c r="D1196" t="s">
        <v>138</v>
      </c>
      <c r="F1196" t="s">
        <v>134</v>
      </c>
      <c r="G1196" t="s">
        <v>101</v>
      </c>
    </row>
    <row r="1199" spans="1:8" x14ac:dyDescent="0.35">
      <c r="A1199" s="36" t="s">
        <v>19</v>
      </c>
      <c r="B1199" s="35" t="s">
        <v>317</v>
      </c>
    </row>
    <row r="1200" spans="1:8" x14ac:dyDescent="0.35">
      <c r="A1200" t="s">
        <v>20</v>
      </c>
      <c r="B1200" s="35">
        <v>1</v>
      </c>
    </row>
    <row r="1201" spans="1:8" x14ac:dyDescent="0.35">
      <c r="A1201" t="s">
        <v>21</v>
      </c>
      <c r="B1201" s="35" t="s">
        <v>120</v>
      </c>
    </row>
    <row r="1202" spans="1:8" x14ac:dyDescent="0.35">
      <c r="A1202" t="s">
        <v>22</v>
      </c>
      <c r="B1202" s="35" t="s">
        <v>151</v>
      </c>
    </row>
    <row r="1203" spans="1:8" x14ac:dyDescent="0.35">
      <c r="A1203" t="s">
        <v>23</v>
      </c>
      <c r="B1203" s="35" t="s">
        <v>169</v>
      </c>
    </row>
    <row r="1204" spans="1:8" x14ac:dyDescent="0.35">
      <c r="A1204" t="s">
        <v>24</v>
      </c>
      <c r="B1204" s="35" t="s">
        <v>119</v>
      </c>
    </row>
    <row r="1205" spans="1:8" x14ac:dyDescent="0.35">
      <c r="A1205" t="s">
        <v>25</v>
      </c>
      <c r="H1205" t="s">
        <v>21</v>
      </c>
    </row>
    <row r="1206" spans="1:8" x14ac:dyDescent="0.35">
      <c r="A1206" t="s">
        <v>26</v>
      </c>
      <c r="B1206" s="35" t="s">
        <v>27</v>
      </c>
      <c r="C1206" t="s">
        <v>23</v>
      </c>
      <c r="D1206" t="s">
        <v>24</v>
      </c>
      <c r="E1206" t="s">
        <v>28</v>
      </c>
      <c r="F1206" t="s">
        <v>29</v>
      </c>
      <c r="G1206" t="s">
        <v>22</v>
      </c>
      <c r="H1206" s="35" t="str">
        <f>B479</f>
        <v>RTE scenarios adapted from Ecoinvent - no background data altered</v>
      </c>
    </row>
    <row r="1207" spans="1:8" x14ac:dyDescent="0.35">
      <c r="A1207" s="35" t="str">
        <f>B1199</f>
        <v xml:space="preserve">market for electricity, high voltage GB N03 </v>
      </c>
      <c r="B1207" s="35">
        <v>1</v>
      </c>
      <c r="C1207" t="s">
        <v>169</v>
      </c>
      <c r="D1207" t="s">
        <v>119</v>
      </c>
      <c r="F1207" t="s">
        <v>174</v>
      </c>
      <c r="G1207" t="s">
        <v>151</v>
      </c>
      <c r="H1207" t="s">
        <v>201</v>
      </c>
    </row>
    <row r="1208" spans="1:8" x14ac:dyDescent="0.35">
      <c r="A1208" s="35" t="str">
        <f>B1199</f>
        <v xml:space="preserve">market for electricity, high voltage GB N03 </v>
      </c>
      <c r="B1208" s="35">
        <v>3.26941222043741E-2</v>
      </c>
      <c r="C1208" t="s">
        <v>169</v>
      </c>
      <c r="D1208" t="s">
        <v>119</v>
      </c>
      <c r="F1208" t="s">
        <v>134</v>
      </c>
      <c r="G1208" t="s">
        <v>151</v>
      </c>
    </row>
    <row r="1209" spans="1:8" x14ac:dyDescent="0.35">
      <c r="A1209" t="s">
        <v>132</v>
      </c>
      <c r="B1209" s="35">
        <f>imports2!G19</f>
        <v>1.3243315951176915E-2</v>
      </c>
      <c r="C1209" t="s">
        <v>169</v>
      </c>
      <c r="D1209" t="s">
        <v>119</v>
      </c>
      <c r="F1209" t="s">
        <v>134</v>
      </c>
      <c r="G1209" t="s">
        <v>151</v>
      </c>
    </row>
    <row r="1210" spans="1:8" x14ac:dyDescent="0.35">
      <c r="A1210" t="s">
        <v>199</v>
      </c>
      <c r="B1210" s="35">
        <f>imports2!G18</f>
        <v>8.9405658518934977E-2</v>
      </c>
      <c r="C1210" t="s">
        <v>169</v>
      </c>
      <c r="D1210" t="s">
        <v>119</v>
      </c>
      <c r="F1210" t="s">
        <v>134</v>
      </c>
      <c r="G1210" t="s">
        <v>151</v>
      </c>
    </row>
    <row r="1211" spans="1:8" x14ac:dyDescent="0.35">
      <c r="A1211" t="s">
        <v>92</v>
      </c>
      <c r="B1211" s="35">
        <f>imports2!K17</f>
        <v>3.8125908706551755E-2</v>
      </c>
      <c r="C1211" t="s">
        <v>169</v>
      </c>
      <c r="D1211" t="s">
        <v>119</v>
      </c>
      <c r="F1211" t="s">
        <v>134</v>
      </c>
      <c r="G1211" t="s">
        <v>151</v>
      </c>
    </row>
    <row r="1212" spans="1:8" x14ac:dyDescent="0.35">
      <c r="A1212" t="s">
        <v>97</v>
      </c>
      <c r="B1212" s="35">
        <f>imports2!I20</f>
        <v>1.367831651297859E-2</v>
      </c>
      <c r="C1212" t="s">
        <v>169</v>
      </c>
      <c r="D1212" t="s">
        <v>119</v>
      </c>
      <c r="F1212" t="s">
        <v>134</v>
      </c>
      <c r="G1212" t="s">
        <v>151</v>
      </c>
    </row>
    <row r="1213" spans="1:8" x14ac:dyDescent="0.35">
      <c r="A1213" s="9" t="s">
        <v>131</v>
      </c>
      <c r="B1213" s="35">
        <f>imports2!I18</f>
        <v>1.6512085966431005E-3</v>
      </c>
      <c r="C1213" t="s">
        <v>169</v>
      </c>
      <c r="D1213" t="s">
        <v>119</v>
      </c>
      <c r="F1213" t="s">
        <v>134</v>
      </c>
      <c r="G1213" t="s">
        <v>151</v>
      </c>
    </row>
    <row r="1214" spans="1:8" x14ac:dyDescent="0.35">
      <c r="A1214" t="s">
        <v>123</v>
      </c>
      <c r="B1214" s="35">
        <f>imports2!I19</f>
        <v>9.6100156529368226E-4</v>
      </c>
      <c r="C1214" t="s">
        <v>169</v>
      </c>
      <c r="D1214" t="s">
        <v>119</v>
      </c>
      <c r="F1214" t="s">
        <v>134</v>
      </c>
      <c r="G1214" t="s">
        <v>151</v>
      </c>
    </row>
    <row r="1215" spans="1:8" x14ac:dyDescent="0.35">
      <c r="A1215" t="s">
        <v>96</v>
      </c>
      <c r="B1215" s="35">
        <f>imports2!J17</f>
        <v>0.29280430490324977</v>
      </c>
      <c r="C1215" t="s">
        <v>169</v>
      </c>
      <c r="D1215" t="s">
        <v>119</v>
      </c>
      <c r="F1215" t="s">
        <v>134</v>
      </c>
      <c r="G1215" t="s">
        <v>151</v>
      </c>
    </row>
    <row r="1216" spans="1:8" x14ac:dyDescent="0.35">
      <c r="A1216" s="10" t="s">
        <v>136</v>
      </c>
      <c r="B1216" s="35">
        <f>imports2!L17</f>
        <v>7.8769276726965903E-2</v>
      </c>
      <c r="C1216" t="s">
        <v>169</v>
      </c>
      <c r="D1216" t="s">
        <v>119</v>
      </c>
      <c r="F1216" t="s">
        <v>134</v>
      </c>
      <c r="G1216" t="s">
        <v>151</v>
      </c>
      <c r="H1216" t="s">
        <v>200</v>
      </c>
    </row>
    <row r="1217" spans="1:8" x14ac:dyDescent="0.35">
      <c r="A1217" s="35" t="str">
        <f>A1208</f>
        <v xml:space="preserve">market for electricity, high voltage GB N03 </v>
      </c>
      <c r="B1217" s="35">
        <f>imports2!M17*1.5</f>
        <v>1.2432875805039075E-2</v>
      </c>
      <c r="C1217" t="s">
        <v>169</v>
      </c>
      <c r="D1217" t="s">
        <v>119</v>
      </c>
      <c r="F1217" t="s">
        <v>134</v>
      </c>
      <c r="G1217" t="s">
        <v>151</v>
      </c>
    </row>
    <row r="1218" spans="1:8" x14ac:dyDescent="0.35">
      <c r="A1218" t="s">
        <v>122</v>
      </c>
      <c r="B1218" s="35">
        <f>imports2!H18</f>
        <v>9.6093041262761917E-3</v>
      </c>
      <c r="C1218" t="s">
        <v>169</v>
      </c>
      <c r="D1218" t="s">
        <v>119</v>
      </c>
      <c r="F1218" t="s">
        <v>134</v>
      </c>
      <c r="G1218" t="s">
        <v>152</v>
      </c>
    </row>
    <row r="1219" spans="1:8" x14ac:dyDescent="0.35">
      <c r="A1219" t="s">
        <v>121</v>
      </c>
      <c r="B1219" s="35">
        <f>imports2!H19</f>
        <v>1.1986863908132712E-2</v>
      </c>
      <c r="C1219" t="s">
        <v>169</v>
      </c>
      <c r="D1219" t="s">
        <v>119</v>
      </c>
      <c r="F1219" t="s">
        <v>134</v>
      </c>
      <c r="G1219" t="s">
        <v>152</v>
      </c>
    </row>
    <row r="1220" spans="1:8" x14ac:dyDescent="0.35">
      <c r="A1220" t="s">
        <v>133</v>
      </c>
      <c r="B1220" s="35">
        <f>imports2!H20</f>
        <v>4.1921001991008532E-2</v>
      </c>
      <c r="C1220" t="s">
        <v>169</v>
      </c>
      <c r="D1220" t="s">
        <v>119</v>
      </c>
      <c r="F1220" t="s">
        <v>134</v>
      </c>
      <c r="G1220" t="s">
        <v>152</v>
      </c>
    </row>
    <row r="1221" spans="1:8" x14ac:dyDescent="0.35">
      <c r="A1221" t="s">
        <v>125</v>
      </c>
      <c r="B1221" s="35">
        <f>imports2!R22</f>
        <v>2.1670778390046501E-9</v>
      </c>
      <c r="C1221" t="s">
        <v>127</v>
      </c>
      <c r="D1221" t="s">
        <v>138</v>
      </c>
      <c r="F1221" t="s">
        <v>134</v>
      </c>
      <c r="G1221" t="s">
        <v>101</v>
      </c>
    </row>
    <row r="1222" spans="1:8" x14ac:dyDescent="0.35">
      <c r="A1222" t="s">
        <v>124</v>
      </c>
      <c r="B1222" s="35">
        <f>imports2!R23</f>
        <v>1.4192813639264101E-10</v>
      </c>
      <c r="C1222" t="s">
        <v>127</v>
      </c>
      <c r="D1222" t="s">
        <v>138</v>
      </c>
      <c r="F1222" t="s">
        <v>134</v>
      </c>
      <c r="G1222" t="s">
        <v>102</v>
      </c>
    </row>
    <row r="1223" spans="1:8" x14ac:dyDescent="0.35">
      <c r="A1223" t="s">
        <v>157</v>
      </c>
      <c r="B1223" s="35">
        <f>imports2!R24</f>
        <v>2.6965250167450102E-10</v>
      </c>
      <c r="C1223" t="s">
        <v>127</v>
      </c>
      <c r="D1223" t="s">
        <v>138</v>
      </c>
      <c r="F1223" t="s">
        <v>134</v>
      </c>
      <c r="G1223" t="s">
        <v>103</v>
      </c>
    </row>
    <row r="1225" spans="1:8" x14ac:dyDescent="0.35">
      <c r="A1225" s="36" t="s">
        <v>19</v>
      </c>
      <c r="B1225" s="35" t="s">
        <v>316</v>
      </c>
    </row>
    <row r="1226" spans="1:8" x14ac:dyDescent="0.35">
      <c r="A1226" t="s">
        <v>20</v>
      </c>
      <c r="B1226" s="35">
        <v>1</v>
      </c>
    </row>
    <row r="1227" spans="1:8" x14ac:dyDescent="0.35">
      <c r="A1227" t="s">
        <v>21</v>
      </c>
      <c r="B1227" s="35" t="s">
        <v>120</v>
      </c>
    </row>
    <row r="1228" spans="1:8" x14ac:dyDescent="0.35">
      <c r="A1228" t="s">
        <v>22</v>
      </c>
      <c r="B1228" s="35" t="s">
        <v>151</v>
      </c>
    </row>
    <row r="1229" spans="1:8" x14ac:dyDescent="0.35">
      <c r="A1229" t="s">
        <v>23</v>
      </c>
      <c r="B1229" s="35" t="s">
        <v>168</v>
      </c>
    </row>
    <row r="1230" spans="1:8" x14ac:dyDescent="0.35">
      <c r="A1230" t="s">
        <v>24</v>
      </c>
      <c r="B1230" s="35" t="s">
        <v>119</v>
      </c>
    </row>
    <row r="1231" spans="1:8" x14ac:dyDescent="0.35">
      <c r="A1231" t="s">
        <v>25</v>
      </c>
      <c r="H1231" t="s">
        <v>21</v>
      </c>
    </row>
    <row r="1232" spans="1:8" x14ac:dyDescent="0.35">
      <c r="A1232" t="s">
        <v>26</v>
      </c>
      <c r="B1232" s="35" t="s">
        <v>27</v>
      </c>
      <c r="C1232" t="s">
        <v>23</v>
      </c>
      <c r="D1232" t="s">
        <v>24</v>
      </c>
      <c r="E1232" t="s">
        <v>28</v>
      </c>
      <c r="F1232" t="s">
        <v>29</v>
      </c>
      <c r="G1232" t="s">
        <v>22</v>
      </c>
      <c r="H1232" s="35" t="str">
        <f>B506</f>
        <v>RTE scenarios adapted from Ecoinvent - no background data altered</v>
      </c>
    </row>
    <row r="1233" spans="1:8" x14ac:dyDescent="0.35">
      <c r="A1233" s="35" t="str">
        <f>B1225</f>
        <v xml:space="preserve">market for electricity, high voltage IT N03 </v>
      </c>
      <c r="B1233" s="35">
        <v>1</v>
      </c>
      <c r="C1233" t="s">
        <v>168</v>
      </c>
      <c r="D1233" t="s">
        <v>119</v>
      </c>
      <c r="F1233" t="s">
        <v>174</v>
      </c>
      <c r="G1233" t="s">
        <v>151</v>
      </c>
      <c r="H1233" t="s">
        <v>201</v>
      </c>
    </row>
    <row r="1234" spans="1:8" x14ac:dyDescent="0.35">
      <c r="A1234" s="35" t="str">
        <f>B1225</f>
        <v xml:space="preserve">market for electricity, high voltage IT N03 </v>
      </c>
      <c r="B1234" s="35">
        <v>2.3357870144476399E-2</v>
      </c>
      <c r="C1234" t="s">
        <v>168</v>
      </c>
      <c r="D1234" t="s">
        <v>119</v>
      </c>
      <c r="F1234" t="s">
        <v>134</v>
      </c>
      <c r="G1234" t="s">
        <v>151</v>
      </c>
    </row>
    <row r="1235" spans="1:8" x14ac:dyDescent="0.35">
      <c r="A1235" t="s">
        <v>92</v>
      </c>
      <c r="B1235" s="35">
        <f>imports2!K29</f>
        <v>1.7085942625630911E-2</v>
      </c>
      <c r="C1235" t="s">
        <v>168</v>
      </c>
      <c r="D1235" t="s">
        <v>119</v>
      </c>
      <c r="F1235" t="s">
        <v>134</v>
      </c>
      <c r="G1235" t="s">
        <v>151</v>
      </c>
    </row>
    <row r="1236" spans="1:8" x14ac:dyDescent="0.35">
      <c r="A1236" t="s">
        <v>91</v>
      </c>
      <c r="B1236" s="35">
        <f>imports2!K30</f>
        <v>3.0376022688869929E-2</v>
      </c>
      <c r="C1236" t="s">
        <v>168</v>
      </c>
      <c r="D1236" t="s">
        <v>119</v>
      </c>
      <c r="F1236" t="s">
        <v>134</v>
      </c>
      <c r="G1236" t="s">
        <v>151</v>
      </c>
    </row>
    <row r="1237" spans="1:8" x14ac:dyDescent="0.35">
      <c r="A1237" t="s">
        <v>97</v>
      </c>
      <c r="B1237" s="35">
        <f>imports2!I31</f>
        <v>4.911004801215172E-2</v>
      </c>
      <c r="C1237" t="s">
        <v>168</v>
      </c>
      <c r="D1237" t="s">
        <v>119</v>
      </c>
      <c r="F1237" t="s">
        <v>134</v>
      </c>
      <c r="G1237" t="s">
        <v>151</v>
      </c>
    </row>
    <row r="1238" spans="1:8" x14ac:dyDescent="0.35">
      <c r="A1238" s="9" t="s">
        <v>131</v>
      </c>
      <c r="B1238" s="35">
        <f>imports2!I30</f>
        <v>2.1734444785016883E-2</v>
      </c>
      <c r="C1238" t="s">
        <v>168</v>
      </c>
      <c r="D1238" t="s">
        <v>119</v>
      </c>
      <c r="F1238" t="s">
        <v>134</v>
      </c>
      <c r="G1238" t="s">
        <v>151</v>
      </c>
    </row>
    <row r="1239" spans="1:8" x14ac:dyDescent="0.35">
      <c r="A1239" t="s">
        <v>123</v>
      </c>
      <c r="B1239" s="35">
        <f>imports2!I29</f>
        <v>6.6363535802902293E-3</v>
      </c>
      <c r="C1239" t="s">
        <v>168</v>
      </c>
      <c r="D1239" t="s">
        <v>119</v>
      </c>
      <c r="F1239" t="s">
        <v>134</v>
      </c>
      <c r="G1239" t="s">
        <v>151</v>
      </c>
      <c r="H1239" t="s">
        <v>223</v>
      </c>
    </row>
    <row r="1240" spans="1:8" x14ac:dyDescent="0.35">
      <c r="A1240" t="s">
        <v>96</v>
      </c>
      <c r="B1240" s="35">
        <f>imports2!J28</f>
        <v>4.0763714178789885E-2</v>
      </c>
      <c r="C1240" t="s">
        <v>171</v>
      </c>
      <c r="D1240" t="s">
        <v>119</v>
      </c>
      <c r="F1240" t="s">
        <v>134</v>
      </c>
      <c r="G1240" t="s">
        <v>151</v>
      </c>
    </row>
    <row r="1241" spans="1:8" x14ac:dyDescent="0.35">
      <c r="A1241" s="10" t="s">
        <v>136</v>
      </c>
      <c r="B1241" s="35">
        <f>imports2!L28</f>
        <v>5.390249870409735E-2</v>
      </c>
      <c r="C1241" t="s">
        <v>168</v>
      </c>
      <c r="D1241" t="s">
        <v>119</v>
      </c>
      <c r="F1241" t="s">
        <v>134</v>
      </c>
      <c r="G1241" t="s">
        <v>151</v>
      </c>
      <c r="H1241" t="s">
        <v>198</v>
      </c>
    </row>
    <row r="1242" spans="1:8" x14ac:dyDescent="0.35">
      <c r="A1242" s="35" t="s">
        <v>337</v>
      </c>
      <c r="B1242" s="35">
        <f>imports2!N28*imports2!Y27</f>
        <v>1.4820330291191916E-2</v>
      </c>
      <c r="C1242" t="s">
        <v>31</v>
      </c>
      <c r="D1242" t="s">
        <v>119</v>
      </c>
      <c r="F1242" t="s">
        <v>134</v>
      </c>
      <c r="G1242" t="s">
        <v>151</v>
      </c>
    </row>
    <row r="1243" spans="1:8" x14ac:dyDescent="0.35">
      <c r="A1243" s="35" t="s">
        <v>156</v>
      </c>
      <c r="B1243" s="35">
        <f>imports2!N28*imports2!Y28</f>
        <v>2.1576405759772908E-2</v>
      </c>
      <c r="C1243" t="s">
        <v>130</v>
      </c>
      <c r="D1243" t="s">
        <v>119</v>
      </c>
      <c r="F1243" t="s">
        <v>134</v>
      </c>
      <c r="G1243" t="s">
        <v>151</v>
      </c>
    </row>
    <row r="1244" spans="1:8" x14ac:dyDescent="0.35">
      <c r="A1244" s="35" t="s">
        <v>156</v>
      </c>
      <c r="B1244" s="35">
        <f>imports2!$N$28*imports2!Y26</f>
        <v>3.6185874731225807E-5</v>
      </c>
      <c r="C1244" t="s">
        <v>252</v>
      </c>
      <c r="D1244" t="s">
        <v>119</v>
      </c>
      <c r="F1244" t="s">
        <v>134</v>
      </c>
      <c r="G1244" t="s">
        <v>151</v>
      </c>
    </row>
    <row r="1245" spans="1:8" x14ac:dyDescent="0.35">
      <c r="A1245" s="35" t="s">
        <v>156</v>
      </c>
      <c r="B1245" s="35">
        <f>imports2!$N$28*imports2!Y29</f>
        <v>1.8967884634918721E-5</v>
      </c>
      <c r="C1245" t="s">
        <v>253</v>
      </c>
      <c r="D1245" t="s">
        <v>119</v>
      </c>
      <c r="F1245" t="s">
        <v>134</v>
      </c>
      <c r="G1245" t="s">
        <v>151</v>
      </c>
    </row>
    <row r="1246" spans="1:8" x14ac:dyDescent="0.35">
      <c r="A1246" s="35" t="s">
        <v>156</v>
      </c>
      <c r="B1246" s="35">
        <f>imports2!$N$28*imports2!Y30</f>
        <v>1.1946559180011354E-3</v>
      </c>
      <c r="C1246" t="s">
        <v>250</v>
      </c>
      <c r="D1246" t="s">
        <v>119</v>
      </c>
      <c r="F1246" t="s">
        <v>134</v>
      </c>
      <c r="G1246" t="s">
        <v>151</v>
      </c>
    </row>
    <row r="1247" spans="1:8" x14ac:dyDescent="0.35">
      <c r="A1247" s="35" t="s">
        <v>156</v>
      </c>
      <c r="B1247" s="35">
        <f>imports2!$N$28*imports2!Y31</f>
        <v>5.0490465410198034E-3</v>
      </c>
      <c r="C1247" t="s">
        <v>254</v>
      </c>
      <c r="D1247" t="s">
        <v>119</v>
      </c>
      <c r="F1247" t="s">
        <v>134</v>
      </c>
      <c r="G1247" t="s">
        <v>151</v>
      </c>
    </row>
    <row r="1248" spans="1:8" x14ac:dyDescent="0.35">
      <c r="A1248" s="35" t="s">
        <v>156</v>
      </c>
      <c r="B1248" s="35">
        <f>imports2!$N$28*imports2!Y32</f>
        <v>5.5245142747605271E-5</v>
      </c>
      <c r="C1248" t="s">
        <v>255</v>
      </c>
      <c r="D1248" t="s">
        <v>119</v>
      </c>
      <c r="F1248" t="s">
        <v>134</v>
      </c>
      <c r="G1248" t="s">
        <v>151</v>
      </c>
      <c r="H1248" t="s">
        <v>200</v>
      </c>
    </row>
    <row r="1249" spans="1:8" x14ac:dyDescent="0.35">
      <c r="A1249" s="35" t="str">
        <f>A1234</f>
        <v xml:space="preserve">market for electricity, high voltage IT N03 </v>
      </c>
      <c r="B1249" s="35">
        <f>imports2!M28*1.5</f>
        <v>7.4210092933762087E-2</v>
      </c>
      <c r="C1249" t="s">
        <v>168</v>
      </c>
      <c r="D1249" t="s">
        <v>119</v>
      </c>
      <c r="F1249" t="s">
        <v>134</v>
      </c>
      <c r="G1249" t="s">
        <v>151</v>
      </c>
    </row>
    <row r="1250" spans="1:8" x14ac:dyDescent="0.35">
      <c r="A1250" t="s">
        <v>122</v>
      </c>
      <c r="B1250" s="35">
        <f>imports2!H29</f>
        <v>5.9591618739746291E-2</v>
      </c>
      <c r="C1250" t="s">
        <v>168</v>
      </c>
      <c r="D1250" t="s">
        <v>119</v>
      </c>
      <c r="F1250" t="s">
        <v>134</v>
      </c>
      <c r="G1250" t="s">
        <v>152</v>
      </c>
    </row>
    <row r="1251" spans="1:8" x14ac:dyDescent="0.35">
      <c r="A1251" t="s">
        <v>121</v>
      </c>
      <c r="B1251" s="35">
        <f>imports2!H30</f>
        <v>7.4214590977489642E-2</v>
      </c>
      <c r="C1251" t="s">
        <v>168</v>
      </c>
      <c r="D1251" t="s">
        <v>119</v>
      </c>
      <c r="F1251" t="s">
        <v>134</v>
      </c>
      <c r="G1251" t="s">
        <v>152</v>
      </c>
    </row>
    <row r="1252" spans="1:8" x14ac:dyDescent="0.35">
      <c r="A1252" t="s">
        <v>133</v>
      </c>
      <c r="B1252" s="35">
        <f>imports2!H31</f>
        <v>0.23034188291046737</v>
      </c>
      <c r="C1252" t="s">
        <v>168</v>
      </c>
      <c r="D1252" t="s">
        <v>119</v>
      </c>
      <c r="F1252" t="s">
        <v>134</v>
      </c>
      <c r="G1252" t="s">
        <v>152</v>
      </c>
    </row>
    <row r="1253" spans="1:8" x14ac:dyDescent="0.35">
      <c r="A1253" t="s">
        <v>125</v>
      </c>
      <c r="B1253" s="35">
        <f>imports2!R33</f>
        <v>6.6544044844740601E-9</v>
      </c>
      <c r="C1253" t="s">
        <v>127</v>
      </c>
      <c r="D1253" t="s">
        <v>138</v>
      </c>
      <c r="F1253" t="s">
        <v>134</v>
      </c>
      <c r="G1253" t="s">
        <v>101</v>
      </c>
    </row>
    <row r="1254" spans="1:8" x14ac:dyDescent="0.35">
      <c r="A1254" t="s">
        <v>124</v>
      </c>
      <c r="B1254" s="35">
        <f>imports2!R34</f>
        <v>1.9648610168655699E-10</v>
      </c>
      <c r="C1254" t="s">
        <v>127</v>
      </c>
      <c r="D1254" t="s">
        <v>138</v>
      </c>
      <c r="F1254" t="s">
        <v>134</v>
      </c>
      <c r="G1254" t="s">
        <v>102</v>
      </c>
    </row>
    <row r="1255" spans="1:8" x14ac:dyDescent="0.35">
      <c r="A1255" t="s">
        <v>157</v>
      </c>
      <c r="B1255" s="35">
        <f>imports2!R35</f>
        <v>1.6557078487408601E-10</v>
      </c>
      <c r="C1255" t="s">
        <v>127</v>
      </c>
      <c r="D1255" t="s">
        <v>138</v>
      </c>
      <c r="F1255" t="s">
        <v>134</v>
      </c>
      <c r="G1255" t="s">
        <v>103</v>
      </c>
    </row>
    <row r="1257" spans="1:8" x14ac:dyDescent="0.35">
      <c r="A1257" s="36" t="s">
        <v>19</v>
      </c>
      <c r="B1257" s="35" t="s">
        <v>320</v>
      </c>
    </row>
    <row r="1258" spans="1:8" x14ac:dyDescent="0.35">
      <c r="A1258" t="s">
        <v>20</v>
      </c>
      <c r="B1258" s="35">
        <v>1</v>
      </c>
    </row>
    <row r="1259" spans="1:8" x14ac:dyDescent="0.35">
      <c r="A1259" t="s">
        <v>21</v>
      </c>
      <c r="B1259" s="35" t="s">
        <v>120</v>
      </c>
    </row>
    <row r="1260" spans="1:8" x14ac:dyDescent="0.35">
      <c r="A1260" t="s">
        <v>22</v>
      </c>
      <c r="B1260" s="35" t="s">
        <v>151</v>
      </c>
    </row>
    <row r="1261" spans="1:8" x14ac:dyDescent="0.35">
      <c r="A1261" t="s">
        <v>23</v>
      </c>
      <c r="B1261" s="35" t="s">
        <v>171</v>
      </c>
    </row>
    <row r="1262" spans="1:8" x14ac:dyDescent="0.35">
      <c r="A1262" t="s">
        <v>24</v>
      </c>
      <c r="B1262" s="35" t="s">
        <v>119</v>
      </c>
    </row>
    <row r="1263" spans="1:8" x14ac:dyDescent="0.35">
      <c r="A1263" t="s">
        <v>25</v>
      </c>
      <c r="H1263" t="s">
        <v>21</v>
      </c>
    </row>
    <row r="1264" spans="1:8" x14ac:dyDescent="0.35">
      <c r="A1264" t="s">
        <v>26</v>
      </c>
      <c r="B1264" s="35" t="s">
        <v>27</v>
      </c>
      <c r="C1264" t="s">
        <v>23</v>
      </c>
      <c r="D1264" t="s">
        <v>24</v>
      </c>
      <c r="E1264" t="s">
        <v>28</v>
      </c>
      <c r="F1264" t="s">
        <v>29</v>
      </c>
      <c r="G1264" t="s">
        <v>22</v>
      </c>
      <c r="H1264" s="35" t="str">
        <f>B538</f>
        <v>RTE scenarios adapted from Ecoinvent - no background data altered</v>
      </c>
    </row>
    <row r="1265" spans="1:8" x14ac:dyDescent="0.35">
      <c r="A1265" s="35" t="str">
        <f>B1257</f>
        <v xml:space="preserve">market for electricity, high voltage ES N03 </v>
      </c>
      <c r="B1265" s="35">
        <v>1</v>
      </c>
      <c r="C1265" t="s">
        <v>171</v>
      </c>
      <c r="D1265" t="s">
        <v>119</v>
      </c>
      <c r="F1265" t="s">
        <v>174</v>
      </c>
      <c r="G1265" t="s">
        <v>151</v>
      </c>
      <c r="H1265" t="s">
        <v>201</v>
      </c>
    </row>
    <row r="1266" spans="1:8" x14ac:dyDescent="0.35">
      <c r="A1266" s="35" t="str">
        <f>B1257</f>
        <v xml:space="preserve">market for electricity, high voltage ES N03 </v>
      </c>
      <c r="B1266" s="35">
        <v>3.7364253070203898E-2</v>
      </c>
      <c r="C1266" t="s">
        <v>171</v>
      </c>
      <c r="D1266" t="s">
        <v>119</v>
      </c>
      <c r="F1266" t="s">
        <v>134</v>
      </c>
      <c r="G1266" t="s">
        <v>151</v>
      </c>
    </row>
    <row r="1267" spans="1:8" x14ac:dyDescent="0.35">
      <c r="A1267" t="s">
        <v>92</v>
      </c>
      <c r="B1267" s="35">
        <f>imports2!K40</f>
        <v>2.3717975097580838E-2</v>
      </c>
      <c r="C1267" t="s">
        <v>171</v>
      </c>
      <c r="D1267" t="s">
        <v>119</v>
      </c>
      <c r="F1267" t="s">
        <v>134</v>
      </c>
      <c r="G1267" t="s">
        <v>151</v>
      </c>
    </row>
    <row r="1268" spans="1:8" x14ac:dyDescent="0.35">
      <c r="A1268" t="s">
        <v>195</v>
      </c>
      <c r="B1268" s="35">
        <f>imports2!K41</f>
        <v>1.2218119891210072E-2</v>
      </c>
      <c r="C1268" t="s">
        <v>171</v>
      </c>
      <c r="D1268" t="s">
        <v>119</v>
      </c>
      <c r="F1268" t="s">
        <v>134</v>
      </c>
      <c r="G1268" t="s">
        <v>151</v>
      </c>
    </row>
    <row r="1269" spans="1:8" x14ac:dyDescent="0.35">
      <c r="A1269" t="s">
        <v>97</v>
      </c>
      <c r="B1269" s="35">
        <f>imports2!I40</f>
        <v>0.11161447551055156</v>
      </c>
      <c r="C1269" t="s">
        <v>171</v>
      </c>
      <c r="D1269" t="s">
        <v>119</v>
      </c>
      <c r="F1269" t="s">
        <v>134</v>
      </c>
      <c r="G1269" t="s">
        <v>151</v>
      </c>
    </row>
    <row r="1270" spans="1:8" x14ac:dyDescent="0.35">
      <c r="A1270" s="9" t="s">
        <v>131</v>
      </c>
      <c r="B1270" s="35">
        <f>imports2!I42</f>
        <v>6.1438480972824956E-2</v>
      </c>
      <c r="C1270" t="s">
        <v>171</v>
      </c>
      <c r="D1270" t="s">
        <v>119</v>
      </c>
      <c r="F1270" t="s">
        <v>134</v>
      </c>
      <c r="G1270" t="s">
        <v>151</v>
      </c>
    </row>
    <row r="1271" spans="1:8" x14ac:dyDescent="0.35">
      <c r="A1271" t="s">
        <v>123</v>
      </c>
      <c r="B1271" s="35">
        <f>imports2!I41</f>
        <v>2.9638127672880423E-4</v>
      </c>
      <c r="C1271" t="s">
        <v>171</v>
      </c>
      <c r="D1271" t="s">
        <v>119</v>
      </c>
      <c r="F1271" t="s">
        <v>134</v>
      </c>
      <c r="G1271" t="s">
        <v>151</v>
      </c>
    </row>
    <row r="1272" spans="1:8" x14ac:dyDescent="0.35">
      <c r="A1272" t="s">
        <v>96</v>
      </c>
      <c r="B1272" s="35">
        <f>imports2!J39</f>
        <v>2.8120899537284662E-2</v>
      </c>
      <c r="C1272" t="s">
        <v>171</v>
      </c>
      <c r="D1272" t="s">
        <v>119</v>
      </c>
      <c r="F1272" t="s">
        <v>134</v>
      </c>
      <c r="G1272" t="s">
        <v>151</v>
      </c>
    </row>
    <row r="1273" spans="1:8" x14ac:dyDescent="0.35">
      <c r="A1273" s="10" t="s">
        <v>136</v>
      </c>
      <c r="B1273" s="35">
        <f>imports2!L39</f>
        <v>1.9025342775696247E-2</v>
      </c>
      <c r="C1273" t="s">
        <v>171</v>
      </c>
      <c r="D1273" t="s">
        <v>119</v>
      </c>
      <c r="F1273" t="s">
        <v>134</v>
      </c>
      <c r="G1273" t="s">
        <v>151</v>
      </c>
      <c r="H1273" t="s">
        <v>200</v>
      </c>
    </row>
    <row r="1274" spans="1:8" x14ac:dyDescent="0.35">
      <c r="A1274" s="35" t="str">
        <f>A1266</f>
        <v xml:space="preserve">market for electricity, high voltage ES N03 </v>
      </c>
      <c r="B1274" s="35">
        <f>imports2!M39*1.5</f>
        <v>6.9723253449038916E-2</v>
      </c>
      <c r="C1274" t="s">
        <v>171</v>
      </c>
      <c r="D1274" t="s">
        <v>119</v>
      </c>
      <c r="F1274" t="s">
        <v>134</v>
      </c>
      <c r="G1274" t="s">
        <v>151</v>
      </c>
    </row>
    <row r="1275" spans="1:8" x14ac:dyDescent="0.35">
      <c r="A1275" t="s">
        <v>122</v>
      </c>
      <c r="B1275" s="35">
        <f>imports2!H40</f>
        <v>6.4011201986494251E-2</v>
      </c>
      <c r="C1275" t="s">
        <v>171</v>
      </c>
      <c r="D1275" t="s">
        <v>119</v>
      </c>
      <c r="F1275" t="s">
        <v>134</v>
      </c>
      <c r="G1275" t="s">
        <v>152</v>
      </c>
    </row>
    <row r="1276" spans="1:8" x14ac:dyDescent="0.35">
      <c r="A1276" t="s">
        <v>121</v>
      </c>
      <c r="B1276" s="35">
        <f>imports2!H41</f>
        <v>7.974407572717343E-2</v>
      </c>
      <c r="C1276" t="s">
        <v>171</v>
      </c>
      <c r="D1276" t="s">
        <v>119</v>
      </c>
      <c r="F1276" t="s">
        <v>134</v>
      </c>
      <c r="G1276" t="s">
        <v>152</v>
      </c>
    </row>
    <row r="1277" spans="1:8" x14ac:dyDescent="0.35">
      <c r="A1277" t="s">
        <v>133</v>
      </c>
      <c r="B1277" s="35">
        <f>imports2!H42</f>
        <v>9.6772597848279851E-2</v>
      </c>
      <c r="C1277" t="s">
        <v>171</v>
      </c>
      <c r="D1277" t="s">
        <v>119</v>
      </c>
      <c r="F1277" t="s">
        <v>134</v>
      </c>
      <c r="G1277" t="s">
        <v>152</v>
      </c>
    </row>
    <row r="1278" spans="1:8" x14ac:dyDescent="0.35">
      <c r="A1278" t="s">
        <v>125</v>
      </c>
      <c r="B1278" s="35">
        <f>imports2!R45</f>
        <v>4.94760991840923E-9</v>
      </c>
      <c r="C1278" t="s">
        <v>127</v>
      </c>
      <c r="D1278" t="s">
        <v>138</v>
      </c>
      <c r="F1278" t="s">
        <v>134</v>
      </c>
      <c r="G1278" t="s">
        <v>101</v>
      </c>
    </row>
    <row r="1279" spans="1:8" x14ac:dyDescent="0.35">
      <c r="A1279" t="s">
        <v>124</v>
      </c>
      <c r="B1279" s="35">
        <f>imports2!R46</f>
        <v>1.2961596435765799E-10</v>
      </c>
      <c r="C1279" t="s">
        <v>127</v>
      </c>
      <c r="D1279" t="s">
        <v>138</v>
      </c>
      <c r="F1279" t="s">
        <v>134</v>
      </c>
      <c r="G1279" t="s">
        <v>102</v>
      </c>
    </row>
    <row r="1280" spans="1:8" x14ac:dyDescent="0.35">
      <c r="A1280" t="s">
        <v>157</v>
      </c>
      <c r="B1280" s="35">
        <f>imports2!R47</f>
        <v>1.0194905896113601E-10</v>
      </c>
      <c r="C1280" t="s">
        <v>127</v>
      </c>
      <c r="D1280" t="s">
        <v>138</v>
      </c>
      <c r="F1280" t="s">
        <v>134</v>
      </c>
      <c r="G1280" t="s">
        <v>103</v>
      </c>
    </row>
    <row r="1282" spans="1:8" x14ac:dyDescent="0.35">
      <c r="A1282" s="36" t="s">
        <v>19</v>
      </c>
      <c r="B1282" s="35" t="s">
        <v>319</v>
      </c>
    </row>
    <row r="1283" spans="1:8" x14ac:dyDescent="0.35">
      <c r="A1283" t="s">
        <v>20</v>
      </c>
      <c r="B1283" s="35">
        <v>1</v>
      </c>
    </row>
    <row r="1284" spans="1:8" x14ac:dyDescent="0.35">
      <c r="A1284" t="s">
        <v>21</v>
      </c>
      <c r="B1284" s="35" t="s">
        <v>120</v>
      </c>
    </row>
    <row r="1285" spans="1:8" x14ac:dyDescent="0.35">
      <c r="A1285" t="s">
        <v>22</v>
      </c>
      <c r="B1285" s="35" t="s">
        <v>151</v>
      </c>
    </row>
    <row r="1286" spans="1:8" x14ac:dyDescent="0.35">
      <c r="A1286" t="s">
        <v>23</v>
      </c>
      <c r="B1286" s="35" t="s">
        <v>12</v>
      </c>
    </row>
    <row r="1287" spans="1:8" x14ac:dyDescent="0.35">
      <c r="A1287" t="s">
        <v>24</v>
      </c>
      <c r="B1287" s="35" t="s">
        <v>119</v>
      </c>
    </row>
    <row r="1288" spans="1:8" x14ac:dyDescent="0.35">
      <c r="A1288" t="s">
        <v>25</v>
      </c>
      <c r="H1288" t="s">
        <v>21</v>
      </c>
    </row>
    <row r="1289" spans="1:8" x14ac:dyDescent="0.35">
      <c r="A1289" t="s">
        <v>26</v>
      </c>
      <c r="B1289" s="35" t="s">
        <v>27</v>
      </c>
      <c r="C1289" t="s">
        <v>23</v>
      </c>
      <c r="D1289" t="s">
        <v>24</v>
      </c>
      <c r="E1289" t="s">
        <v>28</v>
      </c>
      <c r="F1289" t="s">
        <v>29</v>
      </c>
      <c r="G1289" t="s">
        <v>22</v>
      </c>
      <c r="H1289" s="35" t="str">
        <f>B564</f>
        <v>RTE scenarios adapted from Ecoinvent - no background data altered</v>
      </c>
    </row>
    <row r="1290" spans="1:8" x14ac:dyDescent="0.35">
      <c r="A1290" s="35" t="str">
        <f>B1282</f>
        <v xml:space="preserve">market for electricity, high voltage BE N03 </v>
      </c>
      <c r="B1290" s="35">
        <v>1</v>
      </c>
      <c r="C1290" t="s">
        <v>12</v>
      </c>
      <c r="D1290" t="s">
        <v>119</v>
      </c>
      <c r="F1290" t="s">
        <v>174</v>
      </c>
      <c r="G1290" t="s">
        <v>151</v>
      </c>
      <c r="H1290" t="s">
        <v>230</v>
      </c>
    </row>
    <row r="1291" spans="1:8" x14ac:dyDescent="0.35">
      <c r="A1291" s="35" t="str">
        <f>B1282</f>
        <v xml:space="preserve">market for electricity, high voltage BE N03 </v>
      </c>
      <c r="B1291" s="35">
        <f>imports2!F71+imports2!G49</f>
        <v>0.22922391263786926</v>
      </c>
      <c r="C1291" t="s">
        <v>12</v>
      </c>
      <c r="D1291" t="s">
        <v>119</v>
      </c>
      <c r="F1291" t="s">
        <v>134</v>
      </c>
      <c r="G1291" t="s">
        <v>151</v>
      </c>
    </row>
    <row r="1292" spans="1:8" x14ac:dyDescent="0.35">
      <c r="A1292" t="s">
        <v>90</v>
      </c>
      <c r="B1292" s="35">
        <f>imports2!G50</f>
        <v>9.1908439025275221E-3</v>
      </c>
      <c r="C1292" t="s">
        <v>12</v>
      </c>
      <c r="D1292" t="s">
        <v>119</v>
      </c>
      <c r="F1292" t="s">
        <v>134</v>
      </c>
      <c r="G1292" t="s">
        <v>151</v>
      </c>
    </row>
    <row r="1293" spans="1:8" x14ac:dyDescent="0.35">
      <c r="A1293" t="s">
        <v>92</v>
      </c>
      <c r="B1293" s="35">
        <f>imports2!G53</f>
        <v>3.1570005215688281E-3</v>
      </c>
      <c r="C1293" t="s">
        <v>12</v>
      </c>
      <c r="D1293" t="s">
        <v>119</v>
      </c>
      <c r="F1293" t="s">
        <v>134</v>
      </c>
      <c r="G1293" t="s">
        <v>151</v>
      </c>
    </row>
    <row r="1294" spans="1:8" x14ac:dyDescent="0.35">
      <c r="A1294" t="s">
        <v>96</v>
      </c>
      <c r="B1294" s="35">
        <f>imports2!G54</f>
        <v>4.009085504727028E-2</v>
      </c>
      <c r="C1294" t="s">
        <v>12</v>
      </c>
      <c r="D1294" t="s">
        <v>119</v>
      </c>
      <c r="F1294" t="s">
        <v>134</v>
      </c>
      <c r="G1294" t="s">
        <v>151</v>
      </c>
    </row>
    <row r="1295" spans="1:8" x14ac:dyDescent="0.35">
      <c r="A1295" t="s">
        <v>132</v>
      </c>
      <c r="B1295" s="35">
        <f>imports2!G56</f>
        <v>0.43200142560211408</v>
      </c>
      <c r="C1295" t="s">
        <v>12</v>
      </c>
      <c r="D1295" t="s">
        <v>119</v>
      </c>
      <c r="F1295" t="s">
        <v>134</v>
      </c>
      <c r="G1295" t="s">
        <v>151</v>
      </c>
    </row>
    <row r="1296" spans="1:8" x14ac:dyDescent="0.35">
      <c r="A1296" t="s">
        <v>123</v>
      </c>
      <c r="B1296" s="35">
        <f>imports2!G58</f>
        <v>6.2704498274183266E-3</v>
      </c>
      <c r="C1296" t="s">
        <v>12</v>
      </c>
      <c r="D1296" t="s">
        <v>119</v>
      </c>
      <c r="F1296" t="s">
        <v>134</v>
      </c>
      <c r="G1296" t="s">
        <v>151</v>
      </c>
    </row>
    <row r="1297" spans="1:8" x14ac:dyDescent="0.35">
      <c r="A1297" t="s">
        <v>218</v>
      </c>
      <c r="B1297" s="35">
        <f>imports2!G63</f>
        <v>2.2117724493565531E-2</v>
      </c>
      <c r="C1297" t="s">
        <v>12</v>
      </c>
      <c r="D1297" t="s">
        <v>119</v>
      </c>
      <c r="F1297" t="s">
        <v>134</v>
      </c>
      <c r="G1297" t="s">
        <v>151</v>
      </c>
    </row>
    <row r="1298" spans="1:8" x14ac:dyDescent="0.35">
      <c r="A1298" t="s">
        <v>97</v>
      </c>
      <c r="B1298" s="35">
        <f>imports2!G64</f>
        <v>5.3143174443699585E-2</v>
      </c>
      <c r="C1298" t="s">
        <v>12</v>
      </c>
      <c r="D1298" t="s">
        <v>119</v>
      </c>
      <c r="F1298" t="s">
        <v>134</v>
      </c>
      <c r="G1298" t="s">
        <v>151</v>
      </c>
    </row>
    <row r="1299" spans="1:8" x14ac:dyDescent="0.35">
      <c r="A1299" t="s">
        <v>196</v>
      </c>
      <c r="B1299" s="35">
        <f>imports2!G65</f>
        <v>3.3712085572547611E-3</v>
      </c>
      <c r="C1299" t="s">
        <v>12</v>
      </c>
      <c r="D1299" t="s">
        <v>119</v>
      </c>
      <c r="F1299" t="s">
        <v>134</v>
      </c>
      <c r="G1299" t="s">
        <v>151</v>
      </c>
    </row>
    <row r="1300" spans="1:8" x14ac:dyDescent="0.35">
      <c r="A1300" t="s">
        <v>131</v>
      </c>
      <c r="B1300" s="35">
        <f>imports2!G70</f>
        <v>1.5753243368237799E-3</v>
      </c>
      <c r="C1300" t="s">
        <v>12</v>
      </c>
      <c r="D1300" t="s">
        <v>119</v>
      </c>
      <c r="F1300" t="s">
        <v>134</v>
      </c>
      <c r="G1300" t="s">
        <v>151</v>
      </c>
    </row>
    <row r="1301" spans="1:8" x14ac:dyDescent="0.35">
      <c r="A1301" s="35" t="s">
        <v>317</v>
      </c>
      <c r="B1301" s="35">
        <f>imports2!H69</f>
        <v>1.3346874905555593E-3</v>
      </c>
      <c r="C1301" t="s">
        <v>169</v>
      </c>
      <c r="D1301" t="s">
        <v>119</v>
      </c>
      <c r="F1301" t="s">
        <v>134</v>
      </c>
      <c r="G1301" t="s">
        <v>151</v>
      </c>
      <c r="H1301" t="s">
        <v>198</v>
      </c>
    </row>
    <row r="1302" spans="1:8" x14ac:dyDescent="0.35">
      <c r="A1302" s="35" t="s">
        <v>338</v>
      </c>
      <c r="B1302" s="35">
        <f>imports2!H68</f>
        <v>6.9830342662515907E-2</v>
      </c>
      <c r="C1302" t="s">
        <v>31</v>
      </c>
      <c r="D1302" t="s">
        <v>119</v>
      </c>
      <c r="F1302" t="s">
        <v>134</v>
      </c>
      <c r="G1302" t="s">
        <v>151</v>
      </c>
    </row>
    <row r="1303" spans="1:8" x14ac:dyDescent="0.35">
      <c r="A1303" t="s">
        <v>156</v>
      </c>
      <c r="B1303" s="35">
        <f>imports2!H51</f>
        <v>8.5741000184423437E-4</v>
      </c>
      <c r="C1303" t="s">
        <v>256</v>
      </c>
      <c r="D1303" t="s">
        <v>119</v>
      </c>
      <c r="F1303" t="s">
        <v>134</v>
      </c>
      <c r="G1303" t="s">
        <v>151</v>
      </c>
    </row>
    <row r="1304" spans="1:8" x14ac:dyDescent="0.35">
      <c r="A1304" t="s">
        <v>156</v>
      </c>
      <c r="B1304" s="35">
        <f>imports2!H67</f>
        <v>6.2443100823966341E-2</v>
      </c>
      <c r="C1304" t="s">
        <v>247</v>
      </c>
      <c r="D1304" t="s">
        <v>119</v>
      </c>
      <c r="F1304" t="s">
        <v>134</v>
      </c>
      <c r="G1304" t="s">
        <v>151</v>
      </c>
    </row>
    <row r="1305" spans="1:8" x14ac:dyDescent="0.35">
      <c r="A1305" s="9" t="s">
        <v>122</v>
      </c>
      <c r="B1305" s="35">
        <f>imports2!H77</f>
        <v>2.0631916101271498E-2</v>
      </c>
      <c r="C1305" t="s">
        <v>12</v>
      </c>
      <c r="D1305" t="s">
        <v>119</v>
      </c>
      <c r="F1305" t="s">
        <v>134</v>
      </c>
      <c r="G1305" t="s">
        <v>152</v>
      </c>
    </row>
    <row r="1306" spans="1:8" x14ac:dyDescent="0.35">
      <c r="A1306" s="9" t="s">
        <v>121</v>
      </c>
      <c r="B1306" s="35">
        <f>imports2!H78</f>
        <v>4.1263832202542997E-2</v>
      </c>
      <c r="C1306" t="s">
        <v>12</v>
      </c>
      <c r="D1306" t="s">
        <v>119</v>
      </c>
      <c r="F1306" t="s">
        <v>134</v>
      </c>
      <c r="G1306" t="s">
        <v>152</v>
      </c>
    </row>
    <row r="1307" spans="1:8" x14ac:dyDescent="0.35">
      <c r="A1307" t="s">
        <v>133</v>
      </c>
      <c r="B1307" s="35">
        <f>imports2!H79</f>
        <v>2.0631916101271498E-2</v>
      </c>
      <c r="C1307" t="s">
        <v>12</v>
      </c>
      <c r="D1307" t="s">
        <v>119</v>
      </c>
      <c r="F1307" t="s">
        <v>134</v>
      </c>
      <c r="G1307" t="s">
        <v>152</v>
      </c>
    </row>
    <row r="1308" spans="1:8" x14ac:dyDescent="0.35">
      <c r="A1308" t="s">
        <v>125</v>
      </c>
      <c r="B1308" s="35">
        <f>imports2!G74</f>
        <v>2.1426993590677398E-9</v>
      </c>
      <c r="C1308" t="s">
        <v>127</v>
      </c>
      <c r="D1308" t="s">
        <v>138</v>
      </c>
      <c r="F1308" t="s">
        <v>134</v>
      </c>
      <c r="G1308" t="s">
        <v>101</v>
      </c>
    </row>
    <row r="1309" spans="1:8" x14ac:dyDescent="0.35">
      <c r="A1309" t="s">
        <v>124</v>
      </c>
      <c r="B1309" s="35">
        <f>imports2!G75</f>
        <v>1.16401360225082E-9</v>
      </c>
      <c r="C1309" t="s">
        <v>127</v>
      </c>
      <c r="D1309" t="s">
        <v>138</v>
      </c>
      <c r="F1309" t="s">
        <v>134</v>
      </c>
      <c r="G1309" t="s">
        <v>102</v>
      </c>
    </row>
    <row r="1312" spans="1:8" ht="15.5" x14ac:dyDescent="0.35">
      <c r="A1312" s="49"/>
      <c r="B1312" s="49"/>
    </row>
    <row r="1313" spans="1:2" x14ac:dyDescent="0.35">
      <c r="B1313"/>
    </row>
    <row r="1314" spans="1:2" x14ac:dyDescent="0.35">
      <c r="B1314"/>
    </row>
    <row r="1315" spans="1:2" x14ac:dyDescent="0.35">
      <c r="B1315"/>
    </row>
    <row r="1316" spans="1:2" x14ac:dyDescent="0.35">
      <c r="B1316"/>
    </row>
    <row r="1317" spans="1:2" x14ac:dyDescent="0.35">
      <c r="B1317"/>
    </row>
    <row r="1318" spans="1:2" x14ac:dyDescent="0.35">
      <c r="B1318"/>
    </row>
    <row r="1319" spans="1:2" x14ac:dyDescent="0.35">
      <c r="B1319"/>
    </row>
    <row r="1320" spans="1:2" x14ac:dyDescent="0.35">
      <c r="B1320"/>
    </row>
    <row r="1321" spans="1:2" x14ac:dyDescent="0.35">
      <c r="B1321"/>
    </row>
    <row r="1322" spans="1:2" ht="15.5" x14ac:dyDescent="0.35">
      <c r="A1322" s="49"/>
      <c r="B1322"/>
    </row>
    <row r="1323" spans="1:2" x14ac:dyDescent="0.35">
      <c r="B1323"/>
    </row>
    <row r="1324" spans="1:2" x14ac:dyDescent="0.35">
      <c r="B1324"/>
    </row>
    <row r="1325" spans="1:2" x14ac:dyDescent="0.35">
      <c r="B1325"/>
    </row>
    <row r="1326" spans="1:2" x14ac:dyDescent="0.35">
      <c r="B1326"/>
    </row>
    <row r="1327" spans="1:2" x14ac:dyDescent="0.35">
      <c r="B1327"/>
    </row>
    <row r="1328" spans="1:2" x14ac:dyDescent="0.35">
      <c r="B1328"/>
    </row>
    <row r="1329" spans="1:2" x14ac:dyDescent="0.35">
      <c r="B1329"/>
    </row>
    <row r="1330" spans="1:2" x14ac:dyDescent="0.35">
      <c r="B1330"/>
    </row>
    <row r="1331" spans="1:2" x14ac:dyDescent="0.35">
      <c r="B1331"/>
    </row>
    <row r="1332" spans="1:2" x14ac:dyDescent="0.35">
      <c r="B1332"/>
    </row>
    <row r="1333" spans="1:2" x14ac:dyDescent="0.35">
      <c r="B1333"/>
    </row>
    <row r="1334" spans="1:2" x14ac:dyDescent="0.35">
      <c r="B1334"/>
    </row>
    <row r="1335" spans="1:2" x14ac:dyDescent="0.35">
      <c r="B1335"/>
    </row>
    <row r="1336" spans="1:2" x14ac:dyDescent="0.35">
      <c r="B1336"/>
    </row>
    <row r="1337" spans="1:2" x14ac:dyDescent="0.35">
      <c r="B1337"/>
    </row>
    <row r="1338" spans="1:2" ht="15.5" x14ac:dyDescent="0.35">
      <c r="A1338" s="49"/>
      <c r="B1338" s="49"/>
    </row>
    <row r="1339" spans="1:2" x14ac:dyDescent="0.35">
      <c r="B1339"/>
    </row>
    <row r="1340" spans="1:2" x14ac:dyDescent="0.35">
      <c r="B1340"/>
    </row>
    <row r="1341" spans="1:2" x14ac:dyDescent="0.35">
      <c r="B1341"/>
    </row>
    <row r="1342" spans="1:2" x14ac:dyDescent="0.35">
      <c r="B1342"/>
    </row>
    <row r="1343" spans="1:2" x14ac:dyDescent="0.35">
      <c r="B1343"/>
    </row>
    <row r="1344" spans="1:2" x14ac:dyDescent="0.35">
      <c r="B1344"/>
    </row>
    <row r="1345" spans="1:2" x14ac:dyDescent="0.35">
      <c r="B1345"/>
    </row>
    <row r="1346" spans="1:2" x14ac:dyDescent="0.35">
      <c r="B1346"/>
    </row>
    <row r="1347" spans="1:2" x14ac:dyDescent="0.35">
      <c r="B1347"/>
    </row>
    <row r="1348" spans="1:2" ht="15.5" x14ac:dyDescent="0.35">
      <c r="A1348" s="49"/>
      <c r="B1348"/>
    </row>
    <row r="1349" spans="1:2" x14ac:dyDescent="0.35">
      <c r="B1349"/>
    </row>
    <row r="1350" spans="1:2" x14ac:dyDescent="0.35">
      <c r="B1350"/>
    </row>
    <row r="1351" spans="1:2" x14ac:dyDescent="0.35">
      <c r="B1351"/>
    </row>
    <row r="1352" spans="1:2" x14ac:dyDescent="0.35">
      <c r="B1352"/>
    </row>
    <row r="1353" spans="1:2" x14ac:dyDescent="0.35">
      <c r="B1353"/>
    </row>
    <row r="1354" spans="1:2" x14ac:dyDescent="0.35">
      <c r="B1354"/>
    </row>
    <row r="1355" spans="1:2" x14ac:dyDescent="0.35">
      <c r="B1355"/>
    </row>
    <row r="1356" spans="1:2" x14ac:dyDescent="0.35">
      <c r="B1356"/>
    </row>
    <row r="1357" spans="1:2" x14ac:dyDescent="0.35">
      <c r="B1357"/>
    </row>
    <row r="1358" spans="1:2" x14ac:dyDescent="0.35">
      <c r="B1358"/>
    </row>
    <row r="1359" spans="1:2" x14ac:dyDescent="0.35">
      <c r="B1359"/>
    </row>
    <row r="1360" spans="1:2" ht="15.5" x14ac:dyDescent="0.35">
      <c r="A1360" s="49"/>
      <c r="B1360" s="49"/>
    </row>
    <row r="1361" spans="1:2" x14ac:dyDescent="0.35">
      <c r="B1361"/>
    </row>
    <row r="1362" spans="1:2" x14ac:dyDescent="0.35">
      <c r="B1362"/>
    </row>
    <row r="1363" spans="1:2" x14ac:dyDescent="0.35">
      <c r="B1363"/>
    </row>
    <row r="1364" spans="1:2" x14ac:dyDescent="0.35">
      <c r="B1364"/>
    </row>
    <row r="1365" spans="1:2" x14ac:dyDescent="0.35">
      <c r="B1365"/>
    </row>
    <row r="1366" spans="1:2" x14ac:dyDescent="0.35">
      <c r="B1366"/>
    </row>
    <row r="1367" spans="1:2" x14ac:dyDescent="0.35">
      <c r="B1367"/>
    </row>
    <row r="1368" spans="1:2" x14ac:dyDescent="0.35">
      <c r="B1368"/>
    </row>
    <row r="1369" spans="1:2" x14ac:dyDescent="0.35">
      <c r="B1369"/>
    </row>
    <row r="1370" spans="1:2" ht="15.5" x14ac:dyDescent="0.35">
      <c r="A1370" s="49"/>
      <c r="B1370"/>
    </row>
    <row r="1371" spans="1:2" x14ac:dyDescent="0.35">
      <c r="B1371"/>
    </row>
    <row r="1372" spans="1:2" x14ac:dyDescent="0.35">
      <c r="B1372"/>
    </row>
    <row r="1373" spans="1:2" x14ac:dyDescent="0.35">
      <c r="B1373"/>
    </row>
    <row r="1374" spans="1:2" x14ac:dyDescent="0.35">
      <c r="B1374"/>
    </row>
    <row r="1375" spans="1:2" x14ac:dyDescent="0.35">
      <c r="B1375"/>
    </row>
    <row r="1376" spans="1:2" x14ac:dyDescent="0.35">
      <c r="B1376"/>
    </row>
    <row r="1377" spans="1:2" x14ac:dyDescent="0.35">
      <c r="B1377"/>
    </row>
    <row r="1378" spans="1:2" x14ac:dyDescent="0.35">
      <c r="B1378"/>
    </row>
    <row r="1379" spans="1:2" x14ac:dyDescent="0.35">
      <c r="B1379"/>
    </row>
    <row r="1380" spans="1:2" x14ac:dyDescent="0.35">
      <c r="B1380"/>
    </row>
    <row r="1381" spans="1:2" x14ac:dyDescent="0.35">
      <c r="B1381"/>
    </row>
    <row r="1382" spans="1:2" ht="15.5" x14ac:dyDescent="0.35">
      <c r="A1382" s="49"/>
      <c r="B1382" s="49"/>
    </row>
    <row r="1383" spans="1:2" x14ac:dyDescent="0.35">
      <c r="B1383"/>
    </row>
    <row r="1384" spans="1:2" x14ac:dyDescent="0.35">
      <c r="B1384"/>
    </row>
    <row r="1385" spans="1:2" x14ac:dyDescent="0.35">
      <c r="B1385"/>
    </row>
    <row r="1386" spans="1:2" x14ac:dyDescent="0.35">
      <c r="B1386"/>
    </row>
    <row r="1387" spans="1:2" x14ac:dyDescent="0.35">
      <c r="B1387"/>
    </row>
    <row r="1388" spans="1:2" x14ac:dyDescent="0.35">
      <c r="B1388"/>
    </row>
    <row r="1389" spans="1:2" x14ac:dyDescent="0.35">
      <c r="B1389"/>
    </row>
    <row r="1390" spans="1:2" x14ac:dyDescent="0.35">
      <c r="B1390"/>
    </row>
    <row r="1391" spans="1:2" x14ac:dyDescent="0.35">
      <c r="B1391"/>
    </row>
    <row r="1392" spans="1:2" ht="15.5" x14ac:dyDescent="0.35">
      <c r="A1392" s="49"/>
      <c r="B1392"/>
    </row>
    <row r="1393" spans="1:2" x14ac:dyDescent="0.35">
      <c r="B1393"/>
    </row>
    <row r="1394" spans="1:2" x14ac:dyDescent="0.35">
      <c r="B1394"/>
    </row>
    <row r="1395" spans="1:2" x14ac:dyDescent="0.35">
      <c r="B1395"/>
    </row>
    <row r="1396" spans="1:2" x14ac:dyDescent="0.35">
      <c r="B1396"/>
    </row>
    <row r="1397" spans="1:2" x14ac:dyDescent="0.35">
      <c r="B1397"/>
    </row>
    <row r="1398" spans="1:2" x14ac:dyDescent="0.35">
      <c r="B1398"/>
    </row>
    <row r="1399" spans="1:2" x14ac:dyDescent="0.35">
      <c r="B1399"/>
    </row>
    <row r="1400" spans="1:2" x14ac:dyDescent="0.35">
      <c r="B1400"/>
    </row>
    <row r="1401" spans="1:2" x14ac:dyDescent="0.35">
      <c r="B1401"/>
    </row>
    <row r="1402" spans="1:2" x14ac:dyDescent="0.35">
      <c r="B1402"/>
    </row>
    <row r="1403" spans="1:2" x14ac:dyDescent="0.35">
      <c r="B1403"/>
    </row>
    <row r="1404" spans="1:2" ht="15.5" x14ac:dyDescent="0.35">
      <c r="A1404" s="49"/>
      <c r="B1404" s="49"/>
    </row>
    <row r="1405" spans="1:2" x14ac:dyDescent="0.35">
      <c r="B1405"/>
    </row>
    <row r="1406" spans="1:2" x14ac:dyDescent="0.35">
      <c r="B1406"/>
    </row>
    <row r="1407" spans="1:2" x14ac:dyDescent="0.35">
      <c r="B1407"/>
    </row>
    <row r="1408" spans="1:2" x14ac:dyDescent="0.35">
      <c r="B1408"/>
    </row>
    <row r="1409" spans="1:2" x14ac:dyDescent="0.35">
      <c r="B1409"/>
    </row>
    <row r="1410" spans="1:2" x14ac:dyDescent="0.35">
      <c r="B1410"/>
    </row>
    <row r="1411" spans="1:2" x14ac:dyDescent="0.35">
      <c r="B1411"/>
    </row>
    <row r="1412" spans="1:2" x14ac:dyDescent="0.35">
      <c r="B1412"/>
    </row>
    <row r="1413" spans="1:2" x14ac:dyDescent="0.35">
      <c r="B1413"/>
    </row>
    <row r="1414" spans="1:2" ht="15.5" x14ac:dyDescent="0.35">
      <c r="A1414" s="49"/>
      <c r="B1414"/>
    </row>
    <row r="1415" spans="1:2" x14ac:dyDescent="0.35">
      <c r="B1415"/>
    </row>
    <row r="1416" spans="1:2" x14ac:dyDescent="0.35">
      <c r="B1416"/>
    </row>
    <row r="1417" spans="1:2" x14ac:dyDescent="0.35">
      <c r="B1417"/>
    </row>
    <row r="1418" spans="1:2" x14ac:dyDescent="0.35">
      <c r="B1418"/>
    </row>
    <row r="1419" spans="1:2" x14ac:dyDescent="0.35">
      <c r="B1419"/>
    </row>
    <row r="1420" spans="1:2" x14ac:dyDescent="0.35">
      <c r="B1420"/>
    </row>
    <row r="1421" spans="1:2" x14ac:dyDescent="0.35">
      <c r="B1421"/>
    </row>
    <row r="1422" spans="1:2" x14ac:dyDescent="0.35">
      <c r="B1422"/>
    </row>
    <row r="1423" spans="1:2" x14ac:dyDescent="0.35">
      <c r="B1423"/>
    </row>
    <row r="1424" spans="1:2" x14ac:dyDescent="0.35">
      <c r="B1424"/>
    </row>
    <row r="1425" spans="1:2" x14ac:dyDescent="0.35">
      <c r="B1425"/>
    </row>
    <row r="1426" spans="1:2" ht="15.5" x14ac:dyDescent="0.35">
      <c r="A1426" s="49"/>
      <c r="B1426" s="49"/>
    </row>
    <row r="1427" spans="1:2" x14ac:dyDescent="0.35">
      <c r="B1427"/>
    </row>
    <row r="1428" spans="1:2" x14ac:dyDescent="0.35">
      <c r="B1428"/>
    </row>
    <row r="1429" spans="1:2" x14ac:dyDescent="0.35">
      <c r="B1429"/>
    </row>
    <row r="1430" spans="1:2" x14ac:dyDescent="0.35">
      <c r="B1430"/>
    </row>
    <row r="1431" spans="1:2" x14ac:dyDescent="0.35">
      <c r="B1431"/>
    </row>
    <row r="1432" spans="1:2" x14ac:dyDescent="0.35">
      <c r="B1432"/>
    </row>
    <row r="1433" spans="1:2" x14ac:dyDescent="0.35">
      <c r="B1433"/>
    </row>
    <row r="1434" spans="1:2" x14ac:dyDescent="0.35">
      <c r="B1434"/>
    </row>
    <row r="1435" spans="1:2" x14ac:dyDescent="0.35">
      <c r="B1435"/>
    </row>
    <row r="1436" spans="1:2" ht="15.5" x14ac:dyDescent="0.35">
      <c r="A1436" s="49"/>
      <c r="B1436"/>
    </row>
    <row r="1437" spans="1:2" x14ac:dyDescent="0.35">
      <c r="B1437"/>
    </row>
    <row r="1438" spans="1:2" x14ac:dyDescent="0.35">
      <c r="B1438"/>
    </row>
    <row r="1439" spans="1:2" x14ac:dyDescent="0.35">
      <c r="B1439"/>
    </row>
    <row r="1440" spans="1:2" x14ac:dyDescent="0.35">
      <c r="B1440"/>
    </row>
    <row r="1441" spans="1:2" x14ac:dyDescent="0.35">
      <c r="B1441"/>
    </row>
    <row r="1442" spans="1:2" x14ac:dyDescent="0.35">
      <c r="B1442"/>
    </row>
    <row r="1443" spans="1:2" x14ac:dyDescent="0.35">
      <c r="B1443"/>
    </row>
    <row r="1444" spans="1:2" x14ac:dyDescent="0.35">
      <c r="B1444"/>
    </row>
    <row r="1445" spans="1:2" x14ac:dyDescent="0.35">
      <c r="B1445"/>
    </row>
    <row r="1446" spans="1:2" x14ac:dyDescent="0.35">
      <c r="B1446"/>
    </row>
    <row r="1447" spans="1:2" x14ac:dyDescent="0.35">
      <c r="B1447"/>
    </row>
    <row r="1448" spans="1:2" ht="15.5" x14ac:dyDescent="0.35">
      <c r="A1448" s="49"/>
      <c r="B1448" s="49"/>
    </row>
    <row r="1449" spans="1:2" x14ac:dyDescent="0.35">
      <c r="B1449"/>
    </row>
    <row r="1450" spans="1:2" x14ac:dyDescent="0.35">
      <c r="B1450"/>
    </row>
    <row r="1451" spans="1:2" x14ac:dyDescent="0.35">
      <c r="B1451"/>
    </row>
    <row r="1452" spans="1:2" x14ac:dyDescent="0.35">
      <c r="B1452"/>
    </row>
    <row r="1453" spans="1:2" x14ac:dyDescent="0.35">
      <c r="B1453"/>
    </row>
    <row r="1454" spans="1:2" x14ac:dyDescent="0.35">
      <c r="B1454"/>
    </row>
    <row r="1455" spans="1:2" x14ac:dyDescent="0.35">
      <c r="B1455"/>
    </row>
    <row r="1456" spans="1:2" x14ac:dyDescent="0.35">
      <c r="B1456"/>
    </row>
    <row r="1457" spans="1:2" x14ac:dyDescent="0.35">
      <c r="B1457"/>
    </row>
    <row r="1458" spans="1:2" ht="15.5" x14ac:dyDescent="0.35">
      <c r="A1458" s="49"/>
      <c r="B1458"/>
    </row>
    <row r="1459" spans="1:2" x14ac:dyDescent="0.35">
      <c r="B1459"/>
    </row>
    <row r="1460" spans="1:2" x14ac:dyDescent="0.35">
      <c r="B1460"/>
    </row>
    <row r="1461" spans="1:2" x14ac:dyDescent="0.35">
      <c r="B1461"/>
    </row>
    <row r="1462" spans="1:2" x14ac:dyDescent="0.35">
      <c r="B1462"/>
    </row>
    <row r="1463" spans="1:2" x14ac:dyDescent="0.35">
      <c r="B1463"/>
    </row>
    <row r="1464" spans="1:2" x14ac:dyDescent="0.35">
      <c r="B1464"/>
    </row>
    <row r="1465" spans="1:2" x14ac:dyDescent="0.35">
      <c r="B1465"/>
    </row>
    <row r="1466" spans="1:2" x14ac:dyDescent="0.35">
      <c r="B1466"/>
    </row>
    <row r="1467" spans="1:2" x14ac:dyDescent="0.35">
      <c r="B1467"/>
    </row>
    <row r="1468" spans="1:2" x14ac:dyDescent="0.35">
      <c r="B1468"/>
    </row>
    <row r="1469" spans="1:2" x14ac:dyDescent="0.35">
      <c r="B1469"/>
    </row>
    <row r="1470" spans="1:2" ht="15.5" x14ac:dyDescent="0.35">
      <c r="A1470" s="49"/>
      <c r="B1470" s="49"/>
    </row>
    <row r="1471" spans="1:2" x14ac:dyDescent="0.35">
      <c r="B1471"/>
    </row>
    <row r="1472" spans="1:2" x14ac:dyDescent="0.35">
      <c r="B1472"/>
    </row>
    <row r="1473" spans="1:2" x14ac:dyDescent="0.35">
      <c r="B1473"/>
    </row>
    <row r="1474" spans="1:2" x14ac:dyDescent="0.35">
      <c r="B1474"/>
    </row>
    <row r="1475" spans="1:2" x14ac:dyDescent="0.35">
      <c r="B1475"/>
    </row>
    <row r="1476" spans="1:2" x14ac:dyDescent="0.35">
      <c r="B1476"/>
    </row>
    <row r="1477" spans="1:2" x14ac:dyDescent="0.35">
      <c r="B1477"/>
    </row>
    <row r="1478" spans="1:2" x14ac:dyDescent="0.35">
      <c r="B1478"/>
    </row>
    <row r="1479" spans="1:2" x14ac:dyDescent="0.35">
      <c r="B1479"/>
    </row>
    <row r="1480" spans="1:2" ht="15.5" x14ac:dyDescent="0.35">
      <c r="A1480" s="49"/>
      <c r="B1480"/>
    </row>
    <row r="1481" spans="1:2" x14ac:dyDescent="0.35">
      <c r="B1481"/>
    </row>
    <row r="1482" spans="1:2" x14ac:dyDescent="0.35">
      <c r="B1482"/>
    </row>
    <row r="1483" spans="1:2" x14ac:dyDescent="0.35">
      <c r="B1483"/>
    </row>
    <row r="1484" spans="1:2" x14ac:dyDescent="0.35">
      <c r="B1484"/>
    </row>
    <row r="1485" spans="1:2" x14ac:dyDescent="0.35">
      <c r="B1485"/>
    </row>
    <row r="1486" spans="1:2" x14ac:dyDescent="0.35">
      <c r="B1486"/>
    </row>
    <row r="1487" spans="1:2" x14ac:dyDescent="0.35">
      <c r="B1487"/>
    </row>
    <row r="1488" spans="1:2" x14ac:dyDescent="0.35">
      <c r="B1488"/>
    </row>
    <row r="1489" spans="1:2" x14ac:dyDescent="0.35">
      <c r="B1489"/>
    </row>
    <row r="1490" spans="1:2" x14ac:dyDescent="0.35">
      <c r="B1490"/>
    </row>
    <row r="1491" spans="1:2" x14ac:dyDescent="0.35">
      <c r="B1491"/>
    </row>
    <row r="1492" spans="1:2" x14ac:dyDescent="0.35">
      <c r="B1492"/>
    </row>
    <row r="1493" spans="1:2" x14ac:dyDescent="0.35">
      <c r="B1493"/>
    </row>
    <row r="1494" spans="1:2" ht="15.5" x14ac:dyDescent="0.35">
      <c r="A1494" s="49"/>
      <c r="B1494" s="49"/>
    </row>
    <row r="1495" spans="1:2" x14ac:dyDescent="0.35">
      <c r="B1495"/>
    </row>
    <row r="1496" spans="1:2" x14ac:dyDescent="0.35">
      <c r="B1496"/>
    </row>
    <row r="1497" spans="1:2" x14ac:dyDescent="0.35">
      <c r="B1497"/>
    </row>
    <row r="1498" spans="1:2" x14ac:dyDescent="0.35">
      <c r="B1498"/>
    </row>
    <row r="1499" spans="1:2" x14ac:dyDescent="0.35">
      <c r="B1499"/>
    </row>
    <row r="1500" spans="1:2" x14ac:dyDescent="0.35">
      <c r="B1500"/>
    </row>
    <row r="1501" spans="1:2" x14ac:dyDescent="0.35">
      <c r="B1501"/>
    </row>
    <row r="1502" spans="1:2" x14ac:dyDescent="0.35">
      <c r="B1502"/>
    </row>
    <row r="1503" spans="1:2" x14ac:dyDescent="0.35">
      <c r="B1503"/>
    </row>
    <row r="1504" spans="1:2" ht="15.5" x14ac:dyDescent="0.35">
      <c r="A1504" s="49"/>
      <c r="B1504"/>
    </row>
    <row r="1505" spans="1:2" x14ac:dyDescent="0.35">
      <c r="B1505"/>
    </row>
    <row r="1506" spans="1:2" x14ac:dyDescent="0.35">
      <c r="B1506"/>
    </row>
    <row r="1507" spans="1:2" x14ac:dyDescent="0.35">
      <c r="B1507"/>
    </row>
    <row r="1508" spans="1:2" x14ac:dyDescent="0.35">
      <c r="B1508"/>
    </row>
    <row r="1509" spans="1:2" x14ac:dyDescent="0.35">
      <c r="B1509"/>
    </row>
    <row r="1510" spans="1:2" x14ac:dyDescent="0.35">
      <c r="B1510"/>
    </row>
    <row r="1511" spans="1:2" x14ac:dyDescent="0.35">
      <c r="B1511"/>
    </row>
    <row r="1512" spans="1:2" x14ac:dyDescent="0.35">
      <c r="B1512"/>
    </row>
    <row r="1513" spans="1:2" x14ac:dyDescent="0.35">
      <c r="B1513"/>
    </row>
    <row r="1514" spans="1:2" x14ac:dyDescent="0.35">
      <c r="B1514"/>
    </row>
    <row r="1515" spans="1:2" x14ac:dyDescent="0.35">
      <c r="B1515"/>
    </row>
    <row r="1516" spans="1:2" ht="15.5" x14ac:dyDescent="0.35">
      <c r="A1516" s="49"/>
      <c r="B1516" s="49"/>
    </row>
    <row r="1517" spans="1:2" x14ac:dyDescent="0.35">
      <c r="B1517"/>
    </row>
    <row r="1518" spans="1:2" x14ac:dyDescent="0.35">
      <c r="B1518"/>
    </row>
    <row r="1519" spans="1:2" x14ac:dyDescent="0.35">
      <c r="B1519"/>
    </row>
    <row r="1520" spans="1:2" x14ac:dyDescent="0.35">
      <c r="B1520"/>
    </row>
    <row r="1521" spans="1:2" x14ac:dyDescent="0.35">
      <c r="B1521"/>
    </row>
    <row r="1522" spans="1:2" x14ac:dyDescent="0.35">
      <c r="B1522"/>
    </row>
    <row r="1523" spans="1:2" x14ac:dyDescent="0.35">
      <c r="B1523"/>
    </row>
    <row r="1524" spans="1:2" x14ac:dyDescent="0.35">
      <c r="B1524"/>
    </row>
    <row r="1525" spans="1:2" x14ac:dyDescent="0.35">
      <c r="B1525"/>
    </row>
    <row r="1526" spans="1:2" ht="15.5" x14ac:dyDescent="0.35">
      <c r="A1526" s="49"/>
      <c r="B1526"/>
    </row>
    <row r="1527" spans="1:2" x14ac:dyDescent="0.35">
      <c r="B1527"/>
    </row>
    <row r="1528" spans="1:2" x14ac:dyDescent="0.35">
      <c r="B1528"/>
    </row>
    <row r="1529" spans="1:2" x14ac:dyDescent="0.35">
      <c r="B1529"/>
    </row>
    <row r="1530" spans="1:2" x14ac:dyDescent="0.35">
      <c r="B1530"/>
    </row>
    <row r="1531" spans="1:2" x14ac:dyDescent="0.35">
      <c r="B1531"/>
    </row>
    <row r="1532" spans="1:2" x14ac:dyDescent="0.35">
      <c r="B1532"/>
    </row>
    <row r="1533" spans="1:2" x14ac:dyDescent="0.35">
      <c r="B1533"/>
    </row>
    <row r="1534" spans="1:2" x14ac:dyDescent="0.35">
      <c r="B1534"/>
    </row>
    <row r="1535" spans="1:2" x14ac:dyDescent="0.35">
      <c r="B1535"/>
    </row>
    <row r="1536" spans="1:2" x14ac:dyDescent="0.35">
      <c r="B1536"/>
    </row>
    <row r="1537" spans="1:2" x14ac:dyDescent="0.35">
      <c r="B1537"/>
    </row>
    <row r="1538" spans="1:2" ht="15.5" x14ac:dyDescent="0.35">
      <c r="A1538" s="49"/>
      <c r="B1538" s="49"/>
    </row>
    <row r="1539" spans="1:2" x14ac:dyDescent="0.35">
      <c r="B1539"/>
    </row>
    <row r="1540" spans="1:2" x14ac:dyDescent="0.35">
      <c r="B1540"/>
    </row>
    <row r="1541" spans="1:2" x14ac:dyDescent="0.35">
      <c r="B1541"/>
    </row>
    <row r="1542" spans="1:2" x14ac:dyDescent="0.35">
      <c r="B1542"/>
    </row>
    <row r="1543" spans="1:2" x14ac:dyDescent="0.35">
      <c r="B1543"/>
    </row>
    <row r="1544" spans="1:2" x14ac:dyDescent="0.35">
      <c r="B1544"/>
    </row>
    <row r="1545" spans="1:2" x14ac:dyDescent="0.35">
      <c r="B1545"/>
    </row>
    <row r="1546" spans="1:2" x14ac:dyDescent="0.35">
      <c r="B1546"/>
    </row>
    <row r="1547" spans="1:2" x14ac:dyDescent="0.35">
      <c r="B1547"/>
    </row>
    <row r="1548" spans="1:2" ht="15.5" x14ac:dyDescent="0.35">
      <c r="A1548" s="49"/>
      <c r="B1548"/>
    </row>
    <row r="1549" spans="1:2" x14ac:dyDescent="0.35">
      <c r="B1549"/>
    </row>
    <row r="1550" spans="1:2" x14ac:dyDescent="0.35">
      <c r="B1550"/>
    </row>
    <row r="1551" spans="1:2" x14ac:dyDescent="0.35">
      <c r="B1551"/>
    </row>
    <row r="1552" spans="1:2" x14ac:dyDescent="0.35">
      <c r="B1552"/>
    </row>
    <row r="1553" spans="1:2" x14ac:dyDescent="0.35">
      <c r="B1553"/>
    </row>
    <row r="1554" spans="1:2" x14ac:dyDescent="0.35">
      <c r="B1554"/>
    </row>
    <row r="1555" spans="1:2" x14ac:dyDescent="0.35">
      <c r="B1555"/>
    </row>
    <row r="1556" spans="1:2" x14ac:dyDescent="0.35">
      <c r="B1556"/>
    </row>
    <row r="1557" spans="1:2" x14ac:dyDescent="0.35">
      <c r="B1557"/>
    </row>
    <row r="1558" spans="1:2" x14ac:dyDescent="0.35">
      <c r="B1558"/>
    </row>
    <row r="1559" spans="1:2" x14ac:dyDescent="0.35">
      <c r="B1559"/>
    </row>
    <row r="1560" spans="1:2" ht="15.5" x14ac:dyDescent="0.35">
      <c r="A1560" s="49"/>
      <c r="B1560" s="49"/>
    </row>
    <row r="1561" spans="1:2" x14ac:dyDescent="0.35">
      <c r="B1561"/>
    </row>
    <row r="1562" spans="1:2" x14ac:dyDescent="0.35">
      <c r="B1562"/>
    </row>
    <row r="1563" spans="1:2" x14ac:dyDescent="0.35">
      <c r="B1563"/>
    </row>
    <row r="1564" spans="1:2" x14ac:dyDescent="0.35">
      <c r="B1564"/>
    </row>
    <row r="1565" spans="1:2" x14ac:dyDescent="0.35">
      <c r="B1565"/>
    </row>
    <row r="1566" spans="1:2" x14ac:dyDescent="0.35">
      <c r="B1566"/>
    </row>
    <row r="1567" spans="1:2" x14ac:dyDescent="0.35">
      <c r="B1567"/>
    </row>
    <row r="1568" spans="1:2" x14ac:dyDescent="0.35">
      <c r="B1568"/>
    </row>
    <row r="1569" spans="1:2" x14ac:dyDescent="0.35">
      <c r="B1569"/>
    </row>
    <row r="1570" spans="1:2" ht="15.5" x14ac:dyDescent="0.35">
      <c r="A1570" s="49"/>
      <c r="B1570"/>
    </row>
    <row r="1571" spans="1:2" x14ac:dyDescent="0.35">
      <c r="B1571"/>
    </row>
    <row r="1572" spans="1:2" x14ac:dyDescent="0.35">
      <c r="B1572"/>
    </row>
    <row r="1573" spans="1:2" x14ac:dyDescent="0.35">
      <c r="B1573"/>
    </row>
    <row r="1574" spans="1:2" x14ac:dyDescent="0.35">
      <c r="B1574"/>
    </row>
    <row r="1575" spans="1:2" x14ac:dyDescent="0.35">
      <c r="B1575"/>
    </row>
    <row r="1576" spans="1:2" x14ac:dyDescent="0.35">
      <c r="B1576"/>
    </row>
    <row r="1577" spans="1:2" x14ac:dyDescent="0.35">
      <c r="B1577"/>
    </row>
    <row r="1578" spans="1:2" x14ac:dyDescent="0.35">
      <c r="B1578"/>
    </row>
    <row r="1579" spans="1:2" x14ac:dyDescent="0.35">
      <c r="B1579"/>
    </row>
    <row r="1580" spans="1:2" x14ac:dyDescent="0.35">
      <c r="B1580"/>
    </row>
    <row r="1581" spans="1:2" x14ac:dyDescent="0.35">
      <c r="B1581"/>
    </row>
    <row r="1582" spans="1:2" ht="15.5" x14ac:dyDescent="0.35">
      <c r="A1582" s="49"/>
      <c r="B1582" s="49"/>
    </row>
    <row r="1583" spans="1:2" x14ac:dyDescent="0.35">
      <c r="B1583"/>
    </row>
    <row r="1584" spans="1:2" x14ac:dyDescent="0.35">
      <c r="B1584"/>
    </row>
    <row r="1585" spans="1:2" x14ac:dyDescent="0.35">
      <c r="B1585"/>
    </row>
    <row r="1586" spans="1:2" x14ac:dyDescent="0.35">
      <c r="B1586"/>
    </row>
    <row r="1587" spans="1:2" x14ac:dyDescent="0.35">
      <c r="B1587"/>
    </row>
    <row r="1588" spans="1:2" x14ac:dyDescent="0.35">
      <c r="B1588"/>
    </row>
    <row r="1589" spans="1:2" x14ac:dyDescent="0.35">
      <c r="B1589"/>
    </row>
    <row r="1590" spans="1:2" x14ac:dyDescent="0.35">
      <c r="B1590"/>
    </row>
    <row r="1591" spans="1:2" x14ac:dyDescent="0.35">
      <c r="B1591"/>
    </row>
    <row r="1592" spans="1:2" ht="15.5" x14ac:dyDescent="0.35">
      <c r="A1592" s="49"/>
      <c r="B1592"/>
    </row>
    <row r="1593" spans="1:2" x14ac:dyDescent="0.35">
      <c r="B1593"/>
    </row>
    <row r="1594" spans="1:2" x14ac:dyDescent="0.35">
      <c r="B1594"/>
    </row>
    <row r="1595" spans="1:2" x14ac:dyDescent="0.35">
      <c r="B1595"/>
    </row>
    <row r="1596" spans="1:2" x14ac:dyDescent="0.35">
      <c r="B1596"/>
    </row>
    <row r="1597" spans="1:2" x14ac:dyDescent="0.35">
      <c r="B1597"/>
    </row>
    <row r="1598" spans="1:2" x14ac:dyDescent="0.35">
      <c r="B1598"/>
    </row>
    <row r="1599" spans="1:2" x14ac:dyDescent="0.35">
      <c r="B1599"/>
    </row>
    <row r="1600" spans="1:2" x14ac:dyDescent="0.35">
      <c r="B1600"/>
    </row>
    <row r="1601" spans="1:2" x14ac:dyDescent="0.35">
      <c r="B1601"/>
    </row>
    <row r="1602" spans="1:2" x14ac:dyDescent="0.35">
      <c r="B1602"/>
    </row>
    <row r="1603" spans="1:2" x14ac:dyDescent="0.35">
      <c r="B1603"/>
    </row>
    <row r="1604" spans="1:2" ht="15.5" x14ac:dyDescent="0.35">
      <c r="A1604" s="49"/>
      <c r="B1604" s="49"/>
    </row>
    <row r="1605" spans="1:2" x14ac:dyDescent="0.35">
      <c r="B1605"/>
    </row>
    <row r="1606" spans="1:2" x14ac:dyDescent="0.35">
      <c r="B1606"/>
    </row>
    <row r="1607" spans="1:2" x14ac:dyDescent="0.35">
      <c r="B1607"/>
    </row>
    <row r="1608" spans="1:2" x14ac:dyDescent="0.35">
      <c r="B1608"/>
    </row>
    <row r="1609" spans="1:2" x14ac:dyDescent="0.35">
      <c r="B1609"/>
    </row>
    <row r="1610" spans="1:2" x14ac:dyDescent="0.35">
      <c r="B1610"/>
    </row>
    <row r="1611" spans="1:2" x14ac:dyDescent="0.35">
      <c r="B1611"/>
    </row>
    <row r="1612" spans="1:2" x14ac:dyDescent="0.35">
      <c r="B1612"/>
    </row>
    <row r="1613" spans="1:2" x14ac:dyDescent="0.35">
      <c r="B1613"/>
    </row>
    <row r="1614" spans="1:2" ht="15.5" x14ac:dyDescent="0.35">
      <c r="A1614" s="49"/>
      <c r="B1614"/>
    </row>
    <row r="1615" spans="1:2" x14ac:dyDescent="0.35">
      <c r="B1615"/>
    </row>
    <row r="1616" spans="1:2" x14ac:dyDescent="0.35">
      <c r="B1616"/>
    </row>
    <row r="1617" spans="1:2" x14ac:dyDescent="0.35">
      <c r="B1617"/>
    </row>
    <row r="1618" spans="1:2" x14ac:dyDescent="0.35">
      <c r="B1618"/>
    </row>
    <row r="1619" spans="1:2" x14ac:dyDescent="0.35">
      <c r="B1619"/>
    </row>
    <row r="1620" spans="1:2" x14ac:dyDescent="0.35">
      <c r="B1620"/>
    </row>
    <row r="1621" spans="1:2" x14ac:dyDescent="0.35">
      <c r="B1621"/>
    </row>
    <row r="1622" spans="1:2" x14ac:dyDescent="0.35">
      <c r="B1622"/>
    </row>
    <row r="1623" spans="1:2" x14ac:dyDescent="0.35">
      <c r="B1623"/>
    </row>
    <row r="1624" spans="1:2" x14ac:dyDescent="0.35">
      <c r="B1624"/>
    </row>
    <row r="1625" spans="1:2" x14ac:dyDescent="0.35">
      <c r="B1625"/>
    </row>
    <row r="1626" spans="1:2" ht="15.5" x14ac:dyDescent="0.35">
      <c r="A1626" s="49"/>
      <c r="B1626" s="49"/>
    </row>
    <row r="1627" spans="1:2" x14ac:dyDescent="0.35">
      <c r="B1627"/>
    </row>
    <row r="1628" spans="1:2" x14ac:dyDescent="0.35">
      <c r="B1628"/>
    </row>
    <row r="1629" spans="1:2" x14ac:dyDescent="0.35">
      <c r="B1629"/>
    </row>
    <row r="1630" spans="1:2" x14ac:dyDescent="0.35">
      <c r="B1630"/>
    </row>
    <row r="1631" spans="1:2" x14ac:dyDescent="0.35">
      <c r="B1631"/>
    </row>
    <row r="1632" spans="1:2" x14ac:dyDescent="0.35">
      <c r="B1632"/>
    </row>
    <row r="1633" spans="1:2" x14ac:dyDescent="0.35">
      <c r="B1633"/>
    </row>
    <row r="1634" spans="1:2" x14ac:dyDescent="0.35">
      <c r="B1634"/>
    </row>
    <row r="1635" spans="1:2" x14ac:dyDescent="0.35">
      <c r="B1635"/>
    </row>
    <row r="1636" spans="1:2" ht="15.5" x14ac:dyDescent="0.35">
      <c r="A1636" s="49"/>
      <c r="B1636"/>
    </row>
    <row r="1637" spans="1:2" x14ac:dyDescent="0.35">
      <c r="B1637"/>
    </row>
    <row r="1638" spans="1:2" x14ac:dyDescent="0.35">
      <c r="B1638"/>
    </row>
    <row r="1639" spans="1:2" x14ac:dyDescent="0.35">
      <c r="B1639"/>
    </row>
    <row r="1640" spans="1:2" x14ac:dyDescent="0.35">
      <c r="B1640"/>
    </row>
    <row r="1641" spans="1:2" x14ac:dyDescent="0.35">
      <c r="B1641"/>
    </row>
    <row r="1642" spans="1:2" x14ac:dyDescent="0.35">
      <c r="B1642"/>
    </row>
    <row r="1643" spans="1:2" x14ac:dyDescent="0.35">
      <c r="B1643"/>
    </row>
    <row r="1644" spans="1:2" x14ac:dyDescent="0.35">
      <c r="B1644"/>
    </row>
    <row r="1645" spans="1:2" x14ac:dyDescent="0.35">
      <c r="B1645"/>
    </row>
    <row r="1646" spans="1:2" x14ac:dyDescent="0.35">
      <c r="B1646"/>
    </row>
    <row r="1647" spans="1:2" x14ac:dyDescent="0.35">
      <c r="B1647"/>
    </row>
    <row r="1648" spans="1:2" x14ac:dyDescent="0.35">
      <c r="B1648"/>
    </row>
    <row r="1649" spans="1:2" ht="15.5" x14ac:dyDescent="0.35">
      <c r="A1649" s="49"/>
      <c r="B1649" s="49"/>
    </row>
    <row r="1650" spans="1:2" x14ac:dyDescent="0.35">
      <c r="B1650"/>
    </row>
    <row r="1651" spans="1:2" x14ac:dyDescent="0.35">
      <c r="B1651"/>
    </row>
    <row r="1652" spans="1:2" x14ac:dyDescent="0.35">
      <c r="B1652"/>
    </row>
    <row r="1653" spans="1:2" x14ac:dyDescent="0.35">
      <c r="B1653"/>
    </row>
    <row r="1654" spans="1:2" x14ac:dyDescent="0.35">
      <c r="B1654"/>
    </row>
    <row r="1655" spans="1:2" x14ac:dyDescent="0.35">
      <c r="B1655"/>
    </row>
    <row r="1656" spans="1:2" x14ac:dyDescent="0.35">
      <c r="B1656"/>
    </row>
    <row r="1657" spans="1:2" x14ac:dyDescent="0.35">
      <c r="B1657"/>
    </row>
    <row r="1658" spans="1:2" x14ac:dyDescent="0.35">
      <c r="B1658"/>
    </row>
    <row r="1659" spans="1:2" ht="15.5" x14ac:dyDescent="0.35">
      <c r="A1659" s="49"/>
      <c r="B1659"/>
    </row>
    <row r="1660" spans="1:2" x14ac:dyDescent="0.35">
      <c r="B1660"/>
    </row>
    <row r="1661" spans="1:2" x14ac:dyDescent="0.35">
      <c r="B1661"/>
    </row>
    <row r="1662" spans="1:2" x14ac:dyDescent="0.35">
      <c r="B1662"/>
    </row>
    <row r="1663" spans="1:2" x14ac:dyDescent="0.35">
      <c r="B1663"/>
    </row>
    <row r="1664" spans="1:2" x14ac:dyDescent="0.35">
      <c r="B1664"/>
    </row>
    <row r="1665" spans="1:2" x14ac:dyDescent="0.35">
      <c r="B1665"/>
    </row>
    <row r="1666" spans="1:2" x14ac:dyDescent="0.35">
      <c r="B1666"/>
    </row>
    <row r="1667" spans="1:2" x14ac:dyDescent="0.35">
      <c r="B1667"/>
    </row>
    <row r="1668" spans="1:2" x14ac:dyDescent="0.35">
      <c r="B1668"/>
    </row>
    <row r="1669" spans="1:2" x14ac:dyDescent="0.35">
      <c r="B1669"/>
    </row>
    <row r="1670" spans="1:2" x14ac:dyDescent="0.35">
      <c r="B1670"/>
    </row>
    <row r="1671" spans="1:2" x14ac:dyDescent="0.35">
      <c r="B1671"/>
    </row>
    <row r="1672" spans="1:2" ht="15.5" x14ac:dyDescent="0.35">
      <c r="A1672" s="49"/>
      <c r="B1672" s="49"/>
    </row>
    <row r="1673" spans="1:2" x14ac:dyDescent="0.35">
      <c r="B1673"/>
    </row>
    <row r="1674" spans="1:2" x14ac:dyDescent="0.35">
      <c r="B1674"/>
    </row>
    <row r="1675" spans="1:2" x14ac:dyDescent="0.35">
      <c r="B1675"/>
    </row>
    <row r="1676" spans="1:2" x14ac:dyDescent="0.35">
      <c r="B1676"/>
    </row>
    <row r="1677" spans="1:2" x14ac:dyDescent="0.35">
      <c r="B1677"/>
    </row>
    <row r="1678" spans="1:2" x14ac:dyDescent="0.35">
      <c r="B1678"/>
    </row>
    <row r="1679" spans="1:2" x14ac:dyDescent="0.35">
      <c r="B1679"/>
    </row>
    <row r="1680" spans="1:2" x14ac:dyDescent="0.35">
      <c r="B1680"/>
    </row>
    <row r="1681" spans="1:2" x14ac:dyDescent="0.35">
      <c r="B1681"/>
    </row>
    <row r="1682" spans="1:2" ht="15.5" x14ac:dyDescent="0.35">
      <c r="A1682" s="49"/>
      <c r="B1682"/>
    </row>
    <row r="1683" spans="1:2" x14ac:dyDescent="0.35">
      <c r="B1683"/>
    </row>
    <row r="1684" spans="1:2" x14ac:dyDescent="0.35">
      <c r="B1684"/>
    </row>
    <row r="1685" spans="1:2" x14ac:dyDescent="0.35">
      <c r="B1685"/>
    </row>
    <row r="1686" spans="1:2" x14ac:dyDescent="0.35">
      <c r="B1686"/>
    </row>
    <row r="1687" spans="1:2" x14ac:dyDescent="0.35">
      <c r="B1687"/>
    </row>
    <row r="1688" spans="1:2" x14ac:dyDescent="0.35">
      <c r="B1688"/>
    </row>
    <row r="1689" spans="1:2" x14ac:dyDescent="0.35">
      <c r="B1689"/>
    </row>
    <row r="1690" spans="1:2" x14ac:dyDescent="0.35">
      <c r="B1690"/>
    </row>
    <row r="1691" spans="1:2" x14ac:dyDescent="0.35">
      <c r="B1691"/>
    </row>
    <row r="1692" spans="1:2" x14ac:dyDescent="0.35">
      <c r="B1692"/>
    </row>
    <row r="1693" spans="1:2" x14ac:dyDescent="0.35">
      <c r="B1693"/>
    </row>
    <row r="1694" spans="1:2" x14ac:dyDescent="0.35">
      <c r="B1694"/>
    </row>
    <row r="1695" spans="1:2" ht="15.5" x14ac:dyDescent="0.35">
      <c r="A1695" s="49"/>
      <c r="B1695" s="49"/>
    </row>
    <row r="1696" spans="1:2" x14ac:dyDescent="0.35">
      <c r="B1696"/>
    </row>
    <row r="1697" spans="1:2" x14ac:dyDescent="0.35">
      <c r="B1697"/>
    </row>
    <row r="1698" spans="1:2" x14ac:dyDescent="0.35">
      <c r="B1698"/>
    </row>
    <row r="1699" spans="1:2" x14ac:dyDescent="0.35">
      <c r="B1699"/>
    </row>
    <row r="1700" spans="1:2" x14ac:dyDescent="0.35">
      <c r="B1700"/>
    </row>
    <row r="1701" spans="1:2" x14ac:dyDescent="0.35">
      <c r="B1701"/>
    </row>
    <row r="1702" spans="1:2" x14ac:dyDescent="0.35">
      <c r="B1702"/>
    </row>
    <row r="1703" spans="1:2" x14ac:dyDescent="0.35">
      <c r="B1703"/>
    </row>
    <row r="1704" spans="1:2" x14ac:dyDescent="0.35">
      <c r="B1704"/>
    </row>
    <row r="1705" spans="1:2" ht="15.5" x14ac:dyDescent="0.35">
      <c r="A1705" s="49"/>
      <c r="B1705"/>
    </row>
    <row r="1706" spans="1:2" x14ac:dyDescent="0.35">
      <c r="B1706"/>
    </row>
    <row r="1707" spans="1:2" x14ac:dyDescent="0.35">
      <c r="B1707"/>
    </row>
    <row r="1708" spans="1:2" x14ac:dyDescent="0.35">
      <c r="B1708"/>
    </row>
    <row r="1709" spans="1:2" x14ac:dyDescent="0.35">
      <c r="B1709"/>
    </row>
    <row r="1710" spans="1:2" x14ac:dyDescent="0.35">
      <c r="B1710"/>
    </row>
    <row r="1711" spans="1:2" x14ac:dyDescent="0.35">
      <c r="B1711"/>
    </row>
    <row r="1712" spans="1:2" x14ac:dyDescent="0.35">
      <c r="B1712"/>
    </row>
    <row r="1713" spans="1:2" x14ac:dyDescent="0.35">
      <c r="B1713"/>
    </row>
    <row r="1714" spans="1:2" x14ac:dyDescent="0.35">
      <c r="B1714"/>
    </row>
    <row r="1715" spans="1:2" x14ac:dyDescent="0.35">
      <c r="B1715"/>
    </row>
    <row r="1716" spans="1:2" x14ac:dyDescent="0.35">
      <c r="B1716"/>
    </row>
    <row r="1717" spans="1:2" x14ac:dyDescent="0.35">
      <c r="B1717"/>
    </row>
    <row r="1718" spans="1:2" ht="15.5" x14ac:dyDescent="0.35">
      <c r="A1718" s="49"/>
      <c r="B1718" s="49"/>
    </row>
    <row r="1719" spans="1:2" x14ac:dyDescent="0.35">
      <c r="B1719"/>
    </row>
    <row r="1720" spans="1:2" x14ac:dyDescent="0.35">
      <c r="B1720"/>
    </row>
    <row r="1721" spans="1:2" x14ac:dyDescent="0.35">
      <c r="B1721"/>
    </row>
    <row r="1722" spans="1:2" x14ac:dyDescent="0.35">
      <c r="B1722"/>
    </row>
    <row r="1723" spans="1:2" x14ac:dyDescent="0.35">
      <c r="B1723"/>
    </row>
    <row r="1724" spans="1:2" x14ac:dyDescent="0.35">
      <c r="B1724"/>
    </row>
    <row r="1725" spans="1:2" x14ac:dyDescent="0.35">
      <c r="B1725"/>
    </row>
    <row r="1726" spans="1:2" x14ac:dyDescent="0.35">
      <c r="B1726"/>
    </row>
    <row r="1727" spans="1:2" x14ac:dyDescent="0.35">
      <c r="B1727"/>
    </row>
    <row r="1728" spans="1:2" ht="15.5" x14ac:dyDescent="0.35">
      <c r="A1728" s="49"/>
      <c r="B1728"/>
    </row>
    <row r="1729" spans="1:2" x14ac:dyDescent="0.35">
      <c r="B1729"/>
    </row>
    <row r="1730" spans="1:2" x14ac:dyDescent="0.35">
      <c r="B1730"/>
    </row>
    <row r="1731" spans="1:2" x14ac:dyDescent="0.35">
      <c r="B1731"/>
    </row>
    <row r="1732" spans="1:2" x14ac:dyDescent="0.35">
      <c r="B1732"/>
    </row>
    <row r="1733" spans="1:2" x14ac:dyDescent="0.35">
      <c r="B1733"/>
    </row>
    <row r="1734" spans="1:2" x14ac:dyDescent="0.35">
      <c r="B1734"/>
    </row>
    <row r="1735" spans="1:2" x14ac:dyDescent="0.35">
      <c r="B1735"/>
    </row>
    <row r="1736" spans="1:2" x14ac:dyDescent="0.35">
      <c r="B1736"/>
    </row>
    <row r="1737" spans="1:2" x14ac:dyDescent="0.35">
      <c r="B1737"/>
    </row>
    <row r="1738" spans="1:2" x14ac:dyDescent="0.35">
      <c r="B1738"/>
    </row>
    <row r="1739" spans="1:2" x14ac:dyDescent="0.35">
      <c r="B1739"/>
    </row>
    <row r="1740" spans="1:2" x14ac:dyDescent="0.35">
      <c r="B1740"/>
    </row>
    <row r="1741" spans="1:2" ht="15.5" x14ac:dyDescent="0.35">
      <c r="A1741" s="49"/>
      <c r="B1741" s="49"/>
    </row>
    <row r="1742" spans="1:2" x14ac:dyDescent="0.35">
      <c r="B1742"/>
    </row>
    <row r="1743" spans="1:2" x14ac:dyDescent="0.35">
      <c r="B1743"/>
    </row>
    <row r="1744" spans="1:2" x14ac:dyDescent="0.35">
      <c r="B1744"/>
    </row>
    <row r="1745" spans="1:2" x14ac:dyDescent="0.35">
      <c r="B1745"/>
    </row>
    <row r="1746" spans="1:2" x14ac:dyDescent="0.35">
      <c r="B1746"/>
    </row>
    <row r="1747" spans="1:2" x14ac:dyDescent="0.35">
      <c r="B1747"/>
    </row>
    <row r="1748" spans="1:2" x14ac:dyDescent="0.35">
      <c r="B1748"/>
    </row>
    <row r="1749" spans="1:2" x14ac:dyDescent="0.35">
      <c r="B1749"/>
    </row>
    <row r="1750" spans="1:2" x14ac:dyDescent="0.35">
      <c r="B1750"/>
    </row>
    <row r="1751" spans="1:2" ht="15.5" x14ac:dyDescent="0.35">
      <c r="A1751" s="49"/>
      <c r="B1751"/>
    </row>
    <row r="1752" spans="1:2" x14ac:dyDescent="0.35">
      <c r="B1752"/>
    </row>
    <row r="1753" spans="1:2" x14ac:dyDescent="0.35">
      <c r="B1753"/>
    </row>
    <row r="1754" spans="1:2" x14ac:dyDescent="0.35">
      <c r="B1754"/>
    </row>
    <row r="1755" spans="1:2" x14ac:dyDescent="0.35">
      <c r="B1755"/>
    </row>
    <row r="1756" spans="1:2" x14ac:dyDescent="0.35">
      <c r="B1756"/>
    </row>
    <row r="1757" spans="1:2" x14ac:dyDescent="0.35">
      <c r="B1757"/>
    </row>
    <row r="1758" spans="1:2" x14ac:dyDescent="0.35">
      <c r="B1758"/>
    </row>
    <row r="1759" spans="1:2" x14ac:dyDescent="0.35">
      <c r="B1759"/>
    </row>
    <row r="1760" spans="1:2" x14ac:dyDescent="0.35">
      <c r="B1760"/>
    </row>
    <row r="1761" spans="1:2" x14ac:dyDescent="0.35">
      <c r="B1761"/>
    </row>
    <row r="1762" spans="1:2" x14ac:dyDescent="0.35">
      <c r="B1762"/>
    </row>
    <row r="1763" spans="1:2" x14ac:dyDescent="0.35">
      <c r="B1763"/>
    </row>
    <row r="1764" spans="1:2" ht="15.5" x14ac:dyDescent="0.35">
      <c r="A1764" s="49"/>
      <c r="B1764" s="49"/>
    </row>
    <row r="1765" spans="1:2" x14ac:dyDescent="0.35">
      <c r="B1765"/>
    </row>
    <row r="1766" spans="1:2" x14ac:dyDescent="0.35">
      <c r="B1766"/>
    </row>
    <row r="1767" spans="1:2" x14ac:dyDescent="0.35">
      <c r="B1767"/>
    </row>
    <row r="1768" spans="1:2" x14ac:dyDescent="0.35">
      <c r="B1768"/>
    </row>
    <row r="1769" spans="1:2" x14ac:dyDescent="0.35">
      <c r="B1769"/>
    </row>
    <row r="1770" spans="1:2" x14ac:dyDescent="0.35">
      <c r="B1770"/>
    </row>
    <row r="1771" spans="1:2" x14ac:dyDescent="0.35">
      <c r="B1771"/>
    </row>
    <row r="1772" spans="1:2" x14ac:dyDescent="0.35">
      <c r="B1772"/>
    </row>
    <row r="1773" spans="1:2" x14ac:dyDescent="0.35">
      <c r="B1773"/>
    </row>
    <row r="1774" spans="1:2" ht="15.5" x14ac:dyDescent="0.35">
      <c r="A1774" s="49"/>
      <c r="B1774"/>
    </row>
    <row r="1775" spans="1:2" x14ac:dyDescent="0.35">
      <c r="B1775"/>
    </row>
    <row r="1776" spans="1:2" x14ac:dyDescent="0.35">
      <c r="B1776"/>
    </row>
    <row r="1777" spans="1:2" x14ac:dyDescent="0.35">
      <c r="B1777"/>
    </row>
    <row r="1778" spans="1:2" x14ac:dyDescent="0.35">
      <c r="B1778"/>
    </row>
    <row r="1779" spans="1:2" x14ac:dyDescent="0.35">
      <c r="B1779"/>
    </row>
    <row r="1780" spans="1:2" x14ac:dyDescent="0.35">
      <c r="B1780"/>
    </row>
    <row r="1781" spans="1:2" x14ac:dyDescent="0.35">
      <c r="B1781"/>
    </row>
    <row r="1782" spans="1:2" x14ac:dyDescent="0.35">
      <c r="B1782"/>
    </row>
    <row r="1783" spans="1:2" x14ac:dyDescent="0.35">
      <c r="B1783"/>
    </row>
    <row r="1784" spans="1:2" x14ac:dyDescent="0.35">
      <c r="B1784"/>
    </row>
    <row r="1785" spans="1:2" x14ac:dyDescent="0.35">
      <c r="B1785"/>
    </row>
    <row r="1786" spans="1:2" x14ac:dyDescent="0.35">
      <c r="B1786"/>
    </row>
    <row r="1787" spans="1:2" ht="15.5" x14ac:dyDescent="0.35">
      <c r="A1787" s="49"/>
      <c r="B1787" s="49"/>
    </row>
    <row r="1788" spans="1:2" x14ac:dyDescent="0.35">
      <c r="B1788"/>
    </row>
    <row r="1789" spans="1:2" x14ac:dyDescent="0.35">
      <c r="B1789"/>
    </row>
    <row r="1790" spans="1:2" x14ac:dyDescent="0.35">
      <c r="B1790"/>
    </row>
    <row r="1791" spans="1:2" x14ac:dyDescent="0.35">
      <c r="B1791"/>
    </row>
    <row r="1792" spans="1:2" x14ac:dyDescent="0.35">
      <c r="B1792"/>
    </row>
    <row r="1793" spans="1:2" x14ac:dyDescent="0.35">
      <c r="B1793"/>
    </row>
    <row r="1794" spans="1:2" x14ac:dyDescent="0.35">
      <c r="B1794"/>
    </row>
    <row r="1795" spans="1:2" x14ac:dyDescent="0.35">
      <c r="B1795"/>
    </row>
    <row r="1796" spans="1:2" x14ac:dyDescent="0.35">
      <c r="B1796"/>
    </row>
    <row r="1797" spans="1:2" ht="15.5" x14ac:dyDescent="0.35">
      <c r="A1797" s="49"/>
      <c r="B1797"/>
    </row>
    <row r="1798" spans="1:2" x14ac:dyDescent="0.35">
      <c r="B1798"/>
    </row>
    <row r="1799" spans="1:2" x14ac:dyDescent="0.35">
      <c r="B1799"/>
    </row>
    <row r="1800" spans="1:2" x14ac:dyDescent="0.35">
      <c r="B1800"/>
    </row>
    <row r="1801" spans="1:2" x14ac:dyDescent="0.35">
      <c r="B1801"/>
    </row>
    <row r="1802" spans="1:2" x14ac:dyDescent="0.35">
      <c r="B1802"/>
    </row>
    <row r="1803" spans="1:2" x14ac:dyDescent="0.35">
      <c r="B1803"/>
    </row>
    <row r="1804" spans="1:2" x14ac:dyDescent="0.35">
      <c r="B1804"/>
    </row>
    <row r="1805" spans="1:2" x14ac:dyDescent="0.35">
      <c r="B1805"/>
    </row>
    <row r="1806" spans="1:2" x14ac:dyDescent="0.35">
      <c r="B1806"/>
    </row>
    <row r="1807" spans="1:2" x14ac:dyDescent="0.35">
      <c r="B1807"/>
    </row>
    <row r="1808" spans="1:2" x14ac:dyDescent="0.35">
      <c r="B1808"/>
    </row>
    <row r="1809" spans="1:2" x14ac:dyDescent="0.35">
      <c r="B1809"/>
    </row>
    <row r="1810" spans="1:2" ht="15.5" x14ac:dyDescent="0.35">
      <c r="A1810" s="49"/>
      <c r="B1810" s="49"/>
    </row>
    <row r="1811" spans="1:2" x14ac:dyDescent="0.35">
      <c r="B1811"/>
    </row>
    <row r="1812" spans="1:2" x14ac:dyDescent="0.35">
      <c r="B1812"/>
    </row>
    <row r="1813" spans="1:2" x14ac:dyDescent="0.35">
      <c r="B1813"/>
    </row>
    <row r="1814" spans="1:2" x14ac:dyDescent="0.35">
      <c r="B1814"/>
    </row>
    <row r="1815" spans="1:2" x14ac:dyDescent="0.35">
      <c r="B1815"/>
    </row>
    <row r="1816" spans="1:2" x14ac:dyDescent="0.35">
      <c r="B1816"/>
    </row>
    <row r="1817" spans="1:2" x14ac:dyDescent="0.35">
      <c r="B1817"/>
    </row>
    <row r="1818" spans="1:2" x14ac:dyDescent="0.35">
      <c r="B1818"/>
    </row>
    <row r="1819" spans="1:2" x14ac:dyDescent="0.35">
      <c r="B1819"/>
    </row>
    <row r="1820" spans="1:2" ht="15.5" x14ac:dyDescent="0.35">
      <c r="A1820" s="49"/>
      <c r="B1820"/>
    </row>
    <row r="1821" spans="1:2" x14ac:dyDescent="0.35">
      <c r="B1821"/>
    </row>
    <row r="1822" spans="1:2" x14ac:dyDescent="0.35">
      <c r="B1822"/>
    </row>
    <row r="1823" spans="1:2" x14ac:dyDescent="0.35">
      <c r="B1823"/>
    </row>
    <row r="1824" spans="1:2" x14ac:dyDescent="0.35">
      <c r="B1824"/>
    </row>
    <row r="1825" spans="1:2" x14ac:dyDescent="0.35">
      <c r="B1825"/>
    </row>
    <row r="1826" spans="1:2" x14ac:dyDescent="0.35">
      <c r="B1826"/>
    </row>
    <row r="1827" spans="1:2" x14ac:dyDescent="0.35">
      <c r="B1827"/>
    </row>
    <row r="1828" spans="1:2" x14ac:dyDescent="0.35">
      <c r="B1828"/>
    </row>
    <row r="1829" spans="1:2" x14ac:dyDescent="0.35">
      <c r="B1829"/>
    </row>
    <row r="1830" spans="1:2" x14ac:dyDescent="0.35">
      <c r="B1830"/>
    </row>
    <row r="1831" spans="1:2" x14ac:dyDescent="0.35">
      <c r="B1831"/>
    </row>
    <row r="1832" spans="1:2" ht="15.5" x14ac:dyDescent="0.35">
      <c r="A1832" s="49"/>
      <c r="B1832" s="49"/>
    </row>
    <row r="1833" spans="1:2" x14ac:dyDescent="0.35">
      <c r="B1833"/>
    </row>
    <row r="1834" spans="1:2" x14ac:dyDescent="0.35">
      <c r="B1834"/>
    </row>
    <row r="1835" spans="1:2" x14ac:dyDescent="0.35">
      <c r="B1835"/>
    </row>
    <row r="1836" spans="1:2" x14ac:dyDescent="0.35">
      <c r="B1836"/>
    </row>
    <row r="1837" spans="1:2" x14ac:dyDescent="0.35">
      <c r="B1837"/>
    </row>
    <row r="1838" spans="1:2" x14ac:dyDescent="0.35">
      <c r="B1838"/>
    </row>
    <row r="1839" spans="1:2" x14ac:dyDescent="0.35">
      <c r="B1839"/>
    </row>
    <row r="1840" spans="1:2" x14ac:dyDescent="0.35">
      <c r="B1840"/>
    </row>
    <row r="1841" spans="1:2" x14ac:dyDescent="0.35">
      <c r="B1841"/>
    </row>
    <row r="1842" spans="1:2" ht="15.5" x14ac:dyDescent="0.35">
      <c r="A1842" s="49"/>
      <c r="B1842"/>
    </row>
    <row r="1843" spans="1:2" x14ac:dyDescent="0.35">
      <c r="B1843"/>
    </row>
    <row r="1844" spans="1:2" x14ac:dyDescent="0.35">
      <c r="B1844"/>
    </row>
    <row r="1845" spans="1:2" x14ac:dyDescent="0.35">
      <c r="B1845"/>
    </row>
    <row r="1846" spans="1:2" x14ac:dyDescent="0.35">
      <c r="B1846"/>
    </row>
    <row r="1847" spans="1:2" x14ac:dyDescent="0.35">
      <c r="B1847"/>
    </row>
    <row r="1848" spans="1:2" x14ac:dyDescent="0.35">
      <c r="B1848"/>
    </row>
    <row r="1849" spans="1:2" x14ac:dyDescent="0.35">
      <c r="B1849"/>
    </row>
    <row r="1850" spans="1:2" x14ac:dyDescent="0.35">
      <c r="B1850"/>
    </row>
    <row r="1851" spans="1:2" x14ac:dyDescent="0.35">
      <c r="B1851"/>
    </row>
    <row r="1852" spans="1:2" x14ac:dyDescent="0.35">
      <c r="B1852"/>
    </row>
    <row r="1853" spans="1:2" x14ac:dyDescent="0.35">
      <c r="B1853"/>
    </row>
    <row r="1854" spans="1:2" ht="15.5" x14ac:dyDescent="0.35">
      <c r="A1854" s="49"/>
      <c r="B1854" s="49"/>
    </row>
    <row r="1855" spans="1:2" x14ac:dyDescent="0.35">
      <c r="B1855"/>
    </row>
    <row r="1856" spans="1:2" x14ac:dyDescent="0.35">
      <c r="B1856"/>
    </row>
    <row r="1857" spans="1:2" x14ac:dyDescent="0.35">
      <c r="B1857"/>
    </row>
    <row r="1858" spans="1:2" x14ac:dyDescent="0.35">
      <c r="B1858"/>
    </row>
    <row r="1859" spans="1:2" x14ac:dyDescent="0.35">
      <c r="B1859"/>
    </row>
    <row r="1860" spans="1:2" x14ac:dyDescent="0.35">
      <c r="B1860"/>
    </row>
    <row r="1861" spans="1:2" x14ac:dyDescent="0.35">
      <c r="B1861"/>
    </row>
    <row r="1862" spans="1:2" x14ac:dyDescent="0.35">
      <c r="B1862"/>
    </row>
    <row r="1863" spans="1:2" x14ac:dyDescent="0.35">
      <c r="B1863"/>
    </row>
    <row r="1864" spans="1:2" ht="15.5" x14ac:dyDescent="0.35">
      <c r="A1864" s="49"/>
      <c r="B1864"/>
    </row>
    <row r="1865" spans="1:2" x14ac:dyDescent="0.35">
      <c r="B1865"/>
    </row>
    <row r="1866" spans="1:2" x14ac:dyDescent="0.35">
      <c r="B1866"/>
    </row>
    <row r="1867" spans="1:2" x14ac:dyDescent="0.35">
      <c r="B1867"/>
    </row>
    <row r="1868" spans="1:2" x14ac:dyDescent="0.35">
      <c r="B1868"/>
    </row>
    <row r="1869" spans="1:2" x14ac:dyDescent="0.35">
      <c r="B1869"/>
    </row>
    <row r="1870" spans="1:2" x14ac:dyDescent="0.35">
      <c r="B1870"/>
    </row>
    <row r="1871" spans="1:2" x14ac:dyDescent="0.35">
      <c r="B1871"/>
    </row>
    <row r="1872" spans="1:2" x14ac:dyDescent="0.35">
      <c r="B1872"/>
    </row>
    <row r="1873" spans="1:2" x14ac:dyDescent="0.35">
      <c r="B1873"/>
    </row>
    <row r="1874" spans="1:2" x14ac:dyDescent="0.35">
      <c r="B1874"/>
    </row>
    <row r="1875" spans="1:2" x14ac:dyDescent="0.35">
      <c r="B1875"/>
    </row>
    <row r="1876" spans="1:2" ht="15.5" x14ac:dyDescent="0.35">
      <c r="A1876" s="49"/>
      <c r="B1876" s="49"/>
    </row>
    <row r="1877" spans="1:2" x14ac:dyDescent="0.35">
      <c r="B1877"/>
    </row>
    <row r="1878" spans="1:2" x14ac:dyDescent="0.35">
      <c r="B1878"/>
    </row>
    <row r="1879" spans="1:2" x14ac:dyDescent="0.35">
      <c r="B1879"/>
    </row>
    <row r="1880" spans="1:2" x14ac:dyDescent="0.35">
      <c r="B1880"/>
    </row>
    <row r="1881" spans="1:2" x14ac:dyDescent="0.35">
      <c r="B1881"/>
    </row>
    <row r="1882" spans="1:2" x14ac:dyDescent="0.35">
      <c r="B1882"/>
    </row>
    <row r="1883" spans="1:2" x14ac:dyDescent="0.35">
      <c r="B1883"/>
    </row>
    <row r="1884" spans="1:2" x14ac:dyDescent="0.35">
      <c r="B1884"/>
    </row>
    <row r="1885" spans="1:2" x14ac:dyDescent="0.35">
      <c r="B1885"/>
    </row>
    <row r="1886" spans="1:2" ht="15.5" x14ac:dyDescent="0.35">
      <c r="A1886" s="49"/>
      <c r="B1886"/>
    </row>
    <row r="1887" spans="1:2" x14ac:dyDescent="0.35">
      <c r="B1887"/>
    </row>
    <row r="1888" spans="1:2" x14ac:dyDescent="0.35">
      <c r="B1888"/>
    </row>
    <row r="1889" spans="1:2" x14ac:dyDescent="0.35">
      <c r="B1889"/>
    </row>
    <row r="1890" spans="1:2" x14ac:dyDescent="0.35">
      <c r="B1890"/>
    </row>
    <row r="1891" spans="1:2" x14ac:dyDescent="0.35">
      <c r="B1891"/>
    </row>
    <row r="1892" spans="1:2" x14ac:dyDescent="0.35">
      <c r="B1892"/>
    </row>
    <row r="1893" spans="1:2" x14ac:dyDescent="0.35">
      <c r="B1893"/>
    </row>
    <row r="1894" spans="1:2" x14ac:dyDescent="0.35">
      <c r="B1894"/>
    </row>
    <row r="1895" spans="1:2" x14ac:dyDescent="0.35">
      <c r="B1895"/>
    </row>
    <row r="1896" spans="1:2" x14ac:dyDescent="0.35">
      <c r="B1896"/>
    </row>
    <row r="1897" spans="1:2" x14ac:dyDescent="0.35">
      <c r="B1897"/>
    </row>
    <row r="1898" spans="1:2" ht="15.5" x14ac:dyDescent="0.35">
      <c r="A1898" s="49"/>
      <c r="B1898" s="49"/>
    </row>
    <row r="1899" spans="1:2" x14ac:dyDescent="0.35">
      <c r="B1899"/>
    </row>
    <row r="1900" spans="1:2" x14ac:dyDescent="0.35">
      <c r="B1900"/>
    </row>
    <row r="1901" spans="1:2" x14ac:dyDescent="0.35">
      <c r="B1901"/>
    </row>
    <row r="1902" spans="1:2" x14ac:dyDescent="0.35">
      <c r="B1902"/>
    </row>
    <row r="1903" spans="1:2" x14ac:dyDescent="0.35">
      <c r="B1903"/>
    </row>
    <row r="1904" spans="1:2" x14ac:dyDescent="0.35">
      <c r="B1904"/>
    </row>
    <row r="1905" spans="1:2" x14ac:dyDescent="0.35">
      <c r="B1905"/>
    </row>
    <row r="1906" spans="1:2" x14ac:dyDescent="0.35">
      <c r="B1906"/>
    </row>
    <row r="1907" spans="1:2" x14ac:dyDescent="0.35">
      <c r="B1907"/>
    </row>
    <row r="1908" spans="1:2" ht="15.5" x14ac:dyDescent="0.35">
      <c r="A1908" s="49"/>
      <c r="B1908"/>
    </row>
    <row r="1909" spans="1:2" x14ac:dyDescent="0.35">
      <c r="B1909"/>
    </row>
    <row r="1910" spans="1:2" x14ac:dyDescent="0.35">
      <c r="B1910"/>
    </row>
    <row r="1911" spans="1:2" x14ac:dyDescent="0.35">
      <c r="B1911"/>
    </row>
    <row r="1912" spans="1:2" x14ac:dyDescent="0.35">
      <c r="B1912"/>
    </row>
    <row r="1913" spans="1:2" x14ac:dyDescent="0.35">
      <c r="B1913"/>
    </row>
    <row r="1914" spans="1:2" x14ac:dyDescent="0.35">
      <c r="B1914"/>
    </row>
    <row r="1915" spans="1:2" x14ac:dyDescent="0.35">
      <c r="B1915"/>
    </row>
    <row r="1916" spans="1:2" x14ac:dyDescent="0.35">
      <c r="B1916"/>
    </row>
    <row r="1917" spans="1:2" x14ac:dyDescent="0.35">
      <c r="B1917"/>
    </row>
    <row r="1918" spans="1:2" x14ac:dyDescent="0.35">
      <c r="B1918"/>
    </row>
    <row r="1919" spans="1:2" x14ac:dyDescent="0.35">
      <c r="B1919"/>
    </row>
    <row r="1920" spans="1:2" x14ac:dyDescent="0.35">
      <c r="B1920"/>
    </row>
    <row r="1921" spans="1:2" ht="15.5" x14ac:dyDescent="0.35">
      <c r="A1921" s="49"/>
      <c r="B1921" s="49"/>
    </row>
    <row r="1922" spans="1:2" x14ac:dyDescent="0.35">
      <c r="B1922"/>
    </row>
    <row r="1923" spans="1:2" x14ac:dyDescent="0.35">
      <c r="B1923"/>
    </row>
    <row r="1924" spans="1:2" x14ac:dyDescent="0.35">
      <c r="B1924"/>
    </row>
    <row r="1925" spans="1:2" x14ac:dyDescent="0.35">
      <c r="B1925"/>
    </row>
    <row r="1926" spans="1:2" x14ac:dyDescent="0.35">
      <c r="B1926"/>
    </row>
    <row r="1927" spans="1:2" x14ac:dyDescent="0.35">
      <c r="B1927"/>
    </row>
    <row r="1928" spans="1:2" x14ac:dyDescent="0.35">
      <c r="B1928"/>
    </row>
    <row r="1929" spans="1:2" x14ac:dyDescent="0.35">
      <c r="B1929"/>
    </row>
    <row r="1930" spans="1:2" x14ac:dyDescent="0.35">
      <c r="B1930"/>
    </row>
    <row r="1931" spans="1:2" ht="15.5" x14ac:dyDescent="0.35">
      <c r="A1931" s="49"/>
      <c r="B1931"/>
    </row>
    <row r="1932" spans="1:2" x14ac:dyDescent="0.35">
      <c r="B1932"/>
    </row>
    <row r="1933" spans="1:2" x14ac:dyDescent="0.35">
      <c r="B1933"/>
    </row>
    <row r="1934" spans="1:2" x14ac:dyDescent="0.35">
      <c r="B1934"/>
    </row>
    <row r="1935" spans="1:2" x14ac:dyDescent="0.35">
      <c r="B1935"/>
    </row>
    <row r="1936" spans="1:2" x14ac:dyDescent="0.35">
      <c r="B1936"/>
    </row>
    <row r="1937" spans="1:2" x14ac:dyDescent="0.35">
      <c r="B1937"/>
    </row>
    <row r="1938" spans="1:2" x14ac:dyDescent="0.35">
      <c r="B1938"/>
    </row>
    <row r="1939" spans="1:2" x14ac:dyDescent="0.35">
      <c r="B1939"/>
    </row>
    <row r="1940" spans="1:2" x14ac:dyDescent="0.35">
      <c r="B1940"/>
    </row>
    <row r="1941" spans="1:2" ht="15.5" x14ac:dyDescent="0.35">
      <c r="A1941" s="49"/>
      <c r="B1941" s="49"/>
    </row>
    <row r="1942" spans="1:2" x14ac:dyDescent="0.35">
      <c r="B1942"/>
    </row>
    <row r="1943" spans="1:2" x14ac:dyDescent="0.35">
      <c r="B1943"/>
    </row>
    <row r="1944" spans="1:2" x14ac:dyDescent="0.35">
      <c r="B1944"/>
    </row>
    <row r="1945" spans="1:2" x14ac:dyDescent="0.35">
      <c r="B1945"/>
    </row>
    <row r="1946" spans="1:2" x14ac:dyDescent="0.35">
      <c r="B1946"/>
    </row>
    <row r="1947" spans="1:2" x14ac:dyDescent="0.35">
      <c r="B1947"/>
    </row>
    <row r="1948" spans="1:2" x14ac:dyDescent="0.35">
      <c r="B1948"/>
    </row>
    <row r="1949" spans="1:2" x14ac:dyDescent="0.35">
      <c r="B1949"/>
    </row>
    <row r="1950" spans="1:2" x14ac:dyDescent="0.35">
      <c r="B1950"/>
    </row>
    <row r="1951" spans="1:2" ht="15.5" x14ac:dyDescent="0.35">
      <c r="A1951" s="49"/>
      <c r="B1951"/>
    </row>
    <row r="1952" spans="1:2" x14ac:dyDescent="0.35">
      <c r="B1952"/>
    </row>
    <row r="1953" spans="1:2" x14ac:dyDescent="0.35">
      <c r="B1953"/>
    </row>
    <row r="1954" spans="1:2" x14ac:dyDescent="0.35">
      <c r="B1954"/>
    </row>
    <row r="1955" spans="1:2" x14ac:dyDescent="0.35">
      <c r="B1955"/>
    </row>
    <row r="1956" spans="1:2" x14ac:dyDescent="0.35">
      <c r="B1956"/>
    </row>
    <row r="1957" spans="1:2" x14ac:dyDescent="0.35">
      <c r="B1957"/>
    </row>
    <row r="1958" spans="1:2" x14ac:dyDescent="0.35">
      <c r="B1958"/>
    </row>
    <row r="1959" spans="1:2" x14ac:dyDescent="0.35">
      <c r="B1959"/>
    </row>
    <row r="1960" spans="1:2" x14ac:dyDescent="0.35">
      <c r="B1960"/>
    </row>
    <row r="1961" spans="1:2" x14ac:dyDescent="0.35">
      <c r="B1961"/>
    </row>
    <row r="1962" spans="1:2" x14ac:dyDescent="0.35">
      <c r="B1962"/>
    </row>
    <row r="1963" spans="1:2" x14ac:dyDescent="0.35">
      <c r="B1963"/>
    </row>
    <row r="1964" spans="1:2" x14ac:dyDescent="0.35">
      <c r="B1964"/>
    </row>
    <row r="1965" spans="1:2" ht="15.5" x14ac:dyDescent="0.35">
      <c r="A1965" s="49"/>
      <c r="B1965" s="49"/>
    </row>
    <row r="1966" spans="1:2" x14ac:dyDescent="0.35">
      <c r="B1966"/>
    </row>
    <row r="1967" spans="1:2" x14ac:dyDescent="0.35">
      <c r="B1967"/>
    </row>
    <row r="1968" spans="1:2" x14ac:dyDescent="0.35">
      <c r="B1968"/>
    </row>
    <row r="1969" spans="1:2" x14ac:dyDescent="0.35">
      <c r="B1969"/>
    </row>
    <row r="1970" spans="1:2" x14ac:dyDescent="0.35">
      <c r="B1970"/>
    </row>
    <row r="1971" spans="1:2" x14ac:dyDescent="0.35">
      <c r="B1971"/>
    </row>
    <row r="1972" spans="1:2" x14ac:dyDescent="0.35">
      <c r="B1972"/>
    </row>
    <row r="1973" spans="1:2" x14ac:dyDescent="0.35">
      <c r="B1973"/>
    </row>
    <row r="1974" spans="1:2" x14ac:dyDescent="0.35">
      <c r="B1974"/>
    </row>
    <row r="1975" spans="1:2" ht="15.5" x14ac:dyDescent="0.35">
      <c r="A1975" s="49"/>
      <c r="B1975"/>
    </row>
    <row r="1976" spans="1:2" x14ac:dyDescent="0.35">
      <c r="B1976"/>
    </row>
    <row r="1977" spans="1:2" x14ac:dyDescent="0.35">
      <c r="B1977"/>
    </row>
    <row r="1978" spans="1:2" x14ac:dyDescent="0.35">
      <c r="B1978"/>
    </row>
    <row r="1979" spans="1:2" x14ac:dyDescent="0.35">
      <c r="B1979"/>
    </row>
    <row r="1980" spans="1:2" x14ac:dyDescent="0.35">
      <c r="B1980"/>
    </row>
    <row r="1981" spans="1:2" x14ac:dyDescent="0.35">
      <c r="B1981"/>
    </row>
    <row r="1982" spans="1:2" x14ac:dyDescent="0.35">
      <c r="B1982"/>
    </row>
    <row r="1983" spans="1:2" x14ac:dyDescent="0.35">
      <c r="B1983"/>
    </row>
    <row r="1984" spans="1:2" x14ac:dyDescent="0.35">
      <c r="B1984"/>
    </row>
    <row r="1985" spans="1:2" x14ac:dyDescent="0.35">
      <c r="B1985"/>
    </row>
    <row r="1986" spans="1:2" x14ac:dyDescent="0.35">
      <c r="B1986"/>
    </row>
    <row r="1987" spans="1:2" x14ac:dyDescent="0.35">
      <c r="B1987"/>
    </row>
    <row r="1988" spans="1:2" x14ac:dyDescent="0.35">
      <c r="B1988"/>
    </row>
    <row r="1989" spans="1:2" ht="15.5" x14ac:dyDescent="0.35">
      <c r="A1989" s="49"/>
      <c r="B1989" s="49"/>
    </row>
    <row r="1990" spans="1:2" x14ac:dyDescent="0.35">
      <c r="B1990"/>
    </row>
    <row r="1991" spans="1:2" x14ac:dyDescent="0.35">
      <c r="B1991"/>
    </row>
    <row r="1992" spans="1:2" x14ac:dyDescent="0.35">
      <c r="B1992"/>
    </row>
    <row r="1993" spans="1:2" x14ac:dyDescent="0.35">
      <c r="B1993"/>
    </row>
    <row r="1994" spans="1:2" x14ac:dyDescent="0.35">
      <c r="B1994"/>
    </row>
    <row r="1995" spans="1:2" x14ac:dyDescent="0.35">
      <c r="B1995"/>
    </row>
    <row r="1996" spans="1:2" x14ac:dyDescent="0.35">
      <c r="B1996"/>
    </row>
    <row r="1997" spans="1:2" x14ac:dyDescent="0.35">
      <c r="B1997"/>
    </row>
    <row r="1998" spans="1:2" x14ac:dyDescent="0.35">
      <c r="B1998"/>
    </row>
    <row r="1999" spans="1:2" ht="15.5" x14ac:dyDescent="0.35">
      <c r="A1999" s="49"/>
      <c r="B1999"/>
    </row>
    <row r="2000" spans="1:2" x14ac:dyDescent="0.35">
      <c r="B2000"/>
    </row>
    <row r="2001" spans="1:2" x14ac:dyDescent="0.35">
      <c r="B2001"/>
    </row>
    <row r="2002" spans="1:2" x14ac:dyDescent="0.35">
      <c r="B2002"/>
    </row>
    <row r="2003" spans="1:2" x14ac:dyDescent="0.35">
      <c r="B2003"/>
    </row>
    <row r="2004" spans="1:2" x14ac:dyDescent="0.35">
      <c r="B2004"/>
    </row>
    <row r="2005" spans="1:2" x14ac:dyDescent="0.35">
      <c r="B2005"/>
    </row>
    <row r="2006" spans="1:2" x14ac:dyDescent="0.35">
      <c r="B2006"/>
    </row>
    <row r="2007" spans="1:2" x14ac:dyDescent="0.35">
      <c r="B2007"/>
    </row>
    <row r="2008" spans="1:2" x14ac:dyDescent="0.35">
      <c r="B2008"/>
    </row>
    <row r="2009" spans="1:2" x14ac:dyDescent="0.35">
      <c r="B2009"/>
    </row>
    <row r="2010" spans="1:2" x14ac:dyDescent="0.35">
      <c r="B2010"/>
    </row>
    <row r="2011" spans="1:2" x14ac:dyDescent="0.35">
      <c r="B2011"/>
    </row>
    <row r="2012" spans="1:2" ht="15.5" x14ac:dyDescent="0.35">
      <c r="A2012" s="49"/>
      <c r="B2012" s="49"/>
    </row>
    <row r="2013" spans="1:2" x14ac:dyDescent="0.35">
      <c r="B2013"/>
    </row>
    <row r="2014" spans="1:2" x14ac:dyDescent="0.35">
      <c r="B2014"/>
    </row>
    <row r="2015" spans="1:2" x14ac:dyDescent="0.35">
      <c r="B2015"/>
    </row>
    <row r="2016" spans="1:2" x14ac:dyDescent="0.35">
      <c r="B2016"/>
    </row>
    <row r="2017" spans="1:2" x14ac:dyDescent="0.35">
      <c r="B2017"/>
    </row>
    <row r="2018" spans="1:2" x14ac:dyDescent="0.35">
      <c r="B2018"/>
    </row>
    <row r="2019" spans="1:2" x14ac:dyDescent="0.35">
      <c r="B2019"/>
    </row>
    <row r="2020" spans="1:2" x14ac:dyDescent="0.35">
      <c r="B2020"/>
    </row>
    <row r="2021" spans="1:2" x14ac:dyDescent="0.35">
      <c r="B2021"/>
    </row>
    <row r="2022" spans="1:2" ht="15.5" x14ac:dyDescent="0.35">
      <c r="A2022" s="49"/>
      <c r="B2022"/>
    </row>
    <row r="2023" spans="1:2" x14ac:dyDescent="0.35">
      <c r="B2023"/>
    </row>
    <row r="2024" spans="1:2" x14ac:dyDescent="0.35">
      <c r="B2024"/>
    </row>
    <row r="2025" spans="1:2" x14ac:dyDescent="0.35">
      <c r="B2025"/>
    </row>
    <row r="2026" spans="1:2" x14ac:dyDescent="0.35">
      <c r="B2026"/>
    </row>
    <row r="2027" spans="1:2" x14ac:dyDescent="0.35">
      <c r="B2027"/>
    </row>
    <row r="2028" spans="1:2" x14ac:dyDescent="0.35">
      <c r="B2028"/>
    </row>
    <row r="2029" spans="1:2" x14ac:dyDescent="0.35">
      <c r="B2029"/>
    </row>
    <row r="2030" spans="1:2" x14ac:dyDescent="0.35">
      <c r="B2030"/>
    </row>
    <row r="2031" spans="1:2" x14ac:dyDescent="0.35">
      <c r="B2031"/>
    </row>
    <row r="2032" spans="1:2" x14ac:dyDescent="0.35">
      <c r="B2032"/>
    </row>
    <row r="2033" spans="1:2" x14ac:dyDescent="0.35">
      <c r="B2033"/>
    </row>
    <row r="2034" spans="1:2" x14ac:dyDescent="0.35">
      <c r="B2034"/>
    </row>
    <row r="2035" spans="1:2" x14ac:dyDescent="0.35">
      <c r="B2035"/>
    </row>
    <row r="2036" spans="1:2" x14ac:dyDescent="0.35">
      <c r="B2036"/>
    </row>
    <row r="2037" spans="1:2" x14ac:dyDescent="0.35">
      <c r="B2037"/>
    </row>
    <row r="2038" spans="1:2" ht="15.5" x14ac:dyDescent="0.35">
      <c r="A2038" s="49"/>
      <c r="B2038" s="49"/>
    </row>
    <row r="2039" spans="1:2" x14ac:dyDescent="0.35">
      <c r="B2039"/>
    </row>
    <row r="2040" spans="1:2" x14ac:dyDescent="0.35">
      <c r="B2040"/>
    </row>
    <row r="2041" spans="1:2" x14ac:dyDescent="0.35">
      <c r="B2041"/>
    </row>
    <row r="2042" spans="1:2" x14ac:dyDescent="0.35">
      <c r="B2042"/>
    </row>
    <row r="2043" spans="1:2" x14ac:dyDescent="0.35">
      <c r="B2043"/>
    </row>
    <row r="2044" spans="1:2" x14ac:dyDescent="0.35">
      <c r="B2044"/>
    </row>
    <row r="2045" spans="1:2" x14ac:dyDescent="0.35">
      <c r="B2045"/>
    </row>
    <row r="2046" spans="1:2" x14ac:dyDescent="0.35">
      <c r="B2046"/>
    </row>
    <row r="2047" spans="1:2" x14ac:dyDescent="0.35">
      <c r="B2047"/>
    </row>
    <row r="2048" spans="1:2" ht="15.5" x14ac:dyDescent="0.35">
      <c r="A2048" s="49"/>
      <c r="B2048"/>
    </row>
    <row r="2049" spans="1:2" x14ac:dyDescent="0.35">
      <c r="B2049"/>
    </row>
    <row r="2050" spans="1:2" x14ac:dyDescent="0.35">
      <c r="B2050"/>
    </row>
    <row r="2051" spans="1:2" x14ac:dyDescent="0.35">
      <c r="B2051"/>
    </row>
    <row r="2052" spans="1:2" x14ac:dyDescent="0.35">
      <c r="B2052"/>
    </row>
    <row r="2053" spans="1:2" x14ac:dyDescent="0.35">
      <c r="B2053"/>
    </row>
    <row r="2054" spans="1:2" x14ac:dyDescent="0.35">
      <c r="B2054"/>
    </row>
    <row r="2055" spans="1:2" x14ac:dyDescent="0.35">
      <c r="B2055"/>
    </row>
    <row r="2056" spans="1:2" x14ac:dyDescent="0.35">
      <c r="B2056"/>
    </row>
    <row r="2057" spans="1:2" x14ac:dyDescent="0.35">
      <c r="B2057"/>
    </row>
    <row r="2058" spans="1:2" x14ac:dyDescent="0.35">
      <c r="B2058"/>
    </row>
    <row r="2059" spans="1:2" x14ac:dyDescent="0.35">
      <c r="B2059"/>
    </row>
    <row r="2060" spans="1:2" x14ac:dyDescent="0.35">
      <c r="B2060"/>
    </row>
    <row r="2061" spans="1:2" x14ac:dyDescent="0.35">
      <c r="B2061"/>
    </row>
    <row r="2062" spans="1:2" x14ac:dyDescent="0.35">
      <c r="B2062"/>
    </row>
    <row r="2063" spans="1:2" x14ac:dyDescent="0.35">
      <c r="B2063"/>
    </row>
    <row r="2064" spans="1:2" ht="15.5" x14ac:dyDescent="0.35">
      <c r="A2064" s="49"/>
      <c r="B2064" s="49"/>
    </row>
    <row r="2065" spans="1:2" x14ac:dyDescent="0.35">
      <c r="B2065"/>
    </row>
    <row r="2066" spans="1:2" x14ac:dyDescent="0.35">
      <c r="B2066"/>
    </row>
    <row r="2067" spans="1:2" x14ac:dyDescent="0.35">
      <c r="B2067"/>
    </row>
    <row r="2068" spans="1:2" x14ac:dyDescent="0.35">
      <c r="B2068"/>
    </row>
    <row r="2069" spans="1:2" x14ac:dyDescent="0.35">
      <c r="B2069"/>
    </row>
    <row r="2070" spans="1:2" x14ac:dyDescent="0.35">
      <c r="B2070"/>
    </row>
    <row r="2071" spans="1:2" x14ac:dyDescent="0.35">
      <c r="B2071"/>
    </row>
    <row r="2072" spans="1:2" x14ac:dyDescent="0.35">
      <c r="B2072"/>
    </row>
    <row r="2073" spans="1:2" x14ac:dyDescent="0.35">
      <c r="B2073"/>
    </row>
    <row r="2074" spans="1:2" ht="15.5" x14ac:dyDescent="0.35">
      <c r="A2074" s="49"/>
      <c r="B2074"/>
    </row>
    <row r="2075" spans="1:2" x14ac:dyDescent="0.35">
      <c r="B2075"/>
    </row>
    <row r="2076" spans="1:2" x14ac:dyDescent="0.35">
      <c r="B2076"/>
    </row>
    <row r="2077" spans="1:2" x14ac:dyDescent="0.35">
      <c r="B2077"/>
    </row>
    <row r="2078" spans="1:2" x14ac:dyDescent="0.35">
      <c r="B2078"/>
    </row>
    <row r="2079" spans="1:2" x14ac:dyDescent="0.35">
      <c r="B2079"/>
    </row>
    <row r="2080" spans="1:2" x14ac:dyDescent="0.35">
      <c r="B2080"/>
    </row>
    <row r="2081" spans="1:2" x14ac:dyDescent="0.35">
      <c r="B2081"/>
    </row>
    <row r="2082" spans="1:2" x14ac:dyDescent="0.35">
      <c r="B2082"/>
    </row>
    <row r="2083" spans="1:2" x14ac:dyDescent="0.35">
      <c r="B2083"/>
    </row>
    <row r="2084" spans="1:2" ht="15.5" x14ac:dyDescent="0.35">
      <c r="A2084" s="49"/>
      <c r="B2084" s="49"/>
    </row>
    <row r="2085" spans="1:2" x14ac:dyDescent="0.35">
      <c r="B2085"/>
    </row>
    <row r="2086" spans="1:2" x14ac:dyDescent="0.35">
      <c r="B2086"/>
    </row>
    <row r="2087" spans="1:2" x14ac:dyDescent="0.35">
      <c r="B2087"/>
    </row>
    <row r="2088" spans="1:2" x14ac:dyDescent="0.35">
      <c r="B2088"/>
    </row>
    <row r="2089" spans="1:2" x14ac:dyDescent="0.35">
      <c r="B2089"/>
    </row>
    <row r="2090" spans="1:2" x14ac:dyDescent="0.35">
      <c r="B2090"/>
    </row>
    <row r="2091" spans="1:2" x14ac:dyDescent="0.35">
      <c r="B2091"/>
    </row>
    <row r="2092" spans="1:2" x14ac:dyDescent="0.35">
      <c r="B2092"/>
    </row>
    <row r="2093" spans="1:2" x14ac:dyDescent="0.35">
      <c r="B2093"/>
    </row>
    <row r="2094" spans="1:2" ht="15.5" x14ac:dyDescent="0.35">
      <c r="A2094" s="49"/>
      <c r="B2094"/>
    </row>
    <row r="2095" spans="1:2" x14ac:dyDescent="0.35">
      <c r="B2095"/>
    </row>
    <row r="2096" spans="1:2" x14ac:dyDescent="0.35">
      <c r="B2096"/>
    </row>
    <row r="2097" spans="1:2" x14ac:dyDescent="0.35">
      <c r="B2097"/>
    </row>
    <row r="2098" spans="1:2" x14ac:dyDescent="0.35">
      <c r="B2098"/>
    </row>
    <row r="2099" spans="1:2" x14ac:dyDescent="0.35">
      <c r="B2099"/>
    </row>
    <row r="2100" spans="1:2" x14ac:dyDescent="0.35">
      <c r="B2100"/>
    </row>
    <row r="2101" spans="1:2" x14ac:dyDescent="0.35">
      <c r="B2101"/>
    </row>
    <row r="2102" spans="1:2" x14ac:dyDescent="0.35">
      <c r="B2102"/>
    </row>
    <row r="2103" spans="1:2" x14ac:dyDescent="0.35">
      <c r="B2103"/>
    </row>
    <row r="2104" spans="1:2" x14ac:dyDescent="0.35">
      <c r="B2104"/>
    </row>
    <row r="2105" spans="1:2" x14ac:dyDescent="0.35">
      <c r="B2105"/>
    </row>
    <row r="2106" spans="1:2" x14ac:dyDescent="0.35">
      <c r="B2106"/>
    </row>
    <row r="2107" spans="1:2" x14ac:dyDescent="0.35">
      <c r="B2107"/>
    </row>
    <row r="2108" spans="1:2" x14ac:dyDescent="0.35">
      <c r="B2108"/>
    </row>
    <row r="2109" spans="1:2" x14ac:dyDescent="0.35">
      <c r="B2109"/>
    </row>
    <row r="2110" spans="1:2" ht="15.5" x14ac:dyDescent="0.35">
      <c r="A2110" s="49"/>
      <c r="B2110" s="49"/>
    </row>
    <row r="2111" spans="1:2" x14ac:dyDescent="0.35">
      <c r="B2111"/>
    </row>
    <row r="2112" spans="1:2" x14ac:dyDescent="0.35">
      <c r="B2112"/>
    </row>
    <row r="2113" spans="1:2" x14ac:dyDescent="0.35">
      <c r="B2113"/>
    </row>
    <row r="2114" spans="1:2" x14ac:dyDescent="0.35">
      <c r="B2114"/>
    </row>
    <row r="2115" spans="1:2" x14ac:dyDescent="0.35">
      <c r="B2115"/>
    </row>
    <row r="2116" spans="1:2" x14ac:dyDescent="0.35">
      <c r="B2116"/>
    </row>
    <row r="2117" spans="1:2" x14ac:dyDescent="0.35">
      <c r="B2117"/>
    </row>
    <row r="2118" spans="1:2" x14ac:dyDescent="0.35">
      <c r="B2118"/>
    </row>
    <row r="2119" spans="1:2" x14ac:dyDescent="0.35">
      <c r="B2119"/>
    </row>
    <row r="2120" spans="1:2" ht="15.5" x14ac:dyDescent="0.35">
      <c r="A2120" s="49"/>
      <c r="B2120"/>
    </row>
    <row r="2121" spans="1:2" x14ac:dyDescent="0.35">
      <c r="B2121"/>
    </row>
    <row r="2122" spans="1:2" x14ac:dyDescent="0.35">
      <c r="B2122"/>
    </row>
    <row r="2123" spans="1:2" x14ac:dyDescent="0.35">
      <c r="B2123"/>
    </row>
    <row r="2124" spans="1:2" x14ac:dyDescent="0.35">
      <c r="B2124"/>
    </row>
    <row r="2125" spans="1:2" x14ac:dyDescent="0.35">
      <c r="B2125"/>
    </row>
    <row r="2126" spans="1:2" x14ac:dyDescent="0.35">
      <c r="B2126"/>
    </row>
    <row r="2127" spans="1:2" x14ac:dyDescent="0.35">
      <c r="B2127"/>
    </row>
    <row r="2128" spans="1:2" x14ac:dyDescent="0.35">
      <c r="B2128"/>
    </row>
    <row r="2129" spans="1:2" x14ac:dyDescent="0.35">
      <c r="B2129"/>
    </row>
    <row r="2130" spans="1:2" x14ac:dyDescent="0.35">
      <c r="B2130"/>
    </row>
    <row r="2131" spans="1:2" x14ac:dyDescent="0.35">
      <c r="B2131"/>
    </row>
    <row r="2132" spans="1:2" x14ac:dyDescent="0.35">
      <c r="B2132"/>
    </row>
    <row r="2133" spans="1:2" x14ac:dyDescent="0.35">
      <c r="B2133"/>
    </row>
    <row r="2134" spans="1:2" x14ac:dyDescent="0.35">
      <c r="B2134"/>
    </row>
    <row r="2135" spans="1:2" x14ac:dyDescent="0.35">
      <c r="B2135"/>
    </row>
    <row r="2136" spans="1:2" x14ac:dyDescent="0.35">
      <c r="B2136"/>
    </row>
    <row r="2137" spans="1:2" x14ac:dyDescent="0.35">
      <c r="B2137"/>
    </row>
    <row r="2138" spans="1:2" ht="15.5" x14ac:dyDescent="0.35">
      <c r="A2138" s="49"/>
      <c r="B2138" s="49"/>
    </row>
    <row r="2139" spans="1:2" x14ac:dyDescent="0.35">
      <c r="B2139"/>
    </row>
    <row r="2140" spans="1:2" x14ac:dyDescent="0.35">
      <c r="B2140"/>
    </row>
    <row r="2141" spans="1:2" x14ac:dyDescent="0.35">
      <c r="B2141"/>
    </row>
    <row r="2142" spans="1:2" x14ac:dyDescent="0.35">
      <c r="B2142"/>
    </row>
    <row r="2143" spans="1:2" x14ac:dyDescent="0.35">
      <c r="B2143"/>
    </row>
    <row r="2144" spans="1:2" x14ac:dyDescent="0.35">
      <c r="B2144"/>
    </row>
    <row r="2145" spans="1:2" x14ac:dyDescent="0.35">
      <c r="B2145"/>
    </row>
    <row r="2146" spans="1:2" x14ac:dyDescent="0.35">
      <c r="B2146"/>
    </row>
    <row r="2147" spans="1:2" x14ac:dyDescent="0.35">
      <c r="B2147"/>
    </row>
    <row r="2148" spans="1:2" ht="15.5" x14ac:dyDescent="0.35">
      <c r="A2148" s="49"/>
      <c r="B2148"/>
    </row>
    <row r="2149" spans="1:2" x14ac:dyDescent="0.35">
      <c r="B2149"/>
    </row>
    <row r="2150" spans="1:2" x14ac:dyDescent="0.35">
      <c r="B2150"/>
    </row>
    <row r="2151" spans="1:2" x14ac:dyDescent="0.35">
      <c r="B2151"/>
    </row>
    <row r="2152" spans="1:2" x14ac:dyDescent="0.35">
      <c r="B2152"/>
    </row>
    <row r="2153" spans="1:2" x14ac:dyDescent="0.35">
      <c r="B2153"/>
    </row>
    <row r="2154" spans="1:2" x14ac:dyDescent="0.35">
      <c r="B2154"/>
    </row>
    <row r="2155" spans="1:2" x14ac:dyDescent="0.35">
      <c r="B2155"/>
    </row>
    <row r="2156" spans="1:2" x14ac:dyDescent="0.35">
      <c r="B2156"/>
    </row>
    <row r="2157" spans="1:2" x14ac:dyDescent="0.35">
      <c r="B2157"/>
    </row>
    <row r="2158" spans="1:2" x14ac:dyDescent="0.35">
      <c r="B2158"/>
    </row>
    <row r="2159" spans="1:2" x14ac:dyDescent="0.35">
      <c r="B2159"/>
    </row>
    <row r="2160" spans="1:2" x14ac:dyDescent="0.35">
      <c r="B2160"/>
    </row>
    <row r="2161" spans="1:2" x14ac:dyDescent="0.35">
      <c r="B2161"/>
    </row>
    <row r="2162" spans="1:2" x14ac:dyDescent="0.35">
      <c r="B2162"/>
    </row>
    <row r="2163" spans="1:2" x14ac:dyDescent="0.35">
      <c r="B2163"/>
    </row>
    <row r="2164" spans="1:2" x14ac:dyDescent="0.35">
      <c r="B2164"/>
    </row>
    <row r="2165" spans="1:2" x14ac:dyDescent="0.35">
      <c r="B2165"/>
    </row>
    <row r="2166" spans="1:2" ht="15.5" x14ac:dyDescent="0.35">
      <c r="A2166" s="49"/>
      <c r="B2166" s="49"/>
    </row>
    <row r="2167" spans="1:2" x14ac:dyDescent="0.35">
      <c r="B2167"/>
    </row>
    <row r="2168" spans="1:2" x14ac:dyDescent="0.35">
      <c r="B2168"/>
    </row>
    <row r="2169" spans="1:2" x14ac:dyDescent="0.35">
      <c r="B2169"/>
    </row>
    <row r="2170" spans="1:2" x14ac:dyDescent="0.35">
      <c r="B2170"/>
    </row>
    <row r="2171" spans="1:2" x14ac:dyDescent="0.35">
      <c r="B2171"/>
    </row>
    <row r="2172" spans="1:2" x14ac:dyDescent="0.35">
      <c r="B2172"/>
    </row>
    <row r="2173" spans="1:2" x14ac:dyDescent="0.35">
      <c r="B2173"/>
    </row>
    <row r="2174" spans="1:2" x14ac:dyDescent="0.35">
      <c r="B2174"/>
    </row>
    <row r="2175" spans="1:2" x14ac:dyDescent="0.35">
      <c r="B2175"/>
    </row>
    <row r="2176" spans="1:2" ht="15.5" x14ac:dyDescent="0.35">
      <c r="A2176" s="49"/>
      <c r="B2176"/>
    </row>
    <row r="2177" spans="2:2" x14ac:dyDescent="0.35">
      <c r="B2177"/>
    </row>
    <row r="2178" spans="2:2" x14ac:dyDescent="0.35">
      <c r="B2178"/>
    </row>
    <row r="2179" spans="2:2" x14ac:dyDescent="0.35">
      <c r="B2179"/>
    </row>
    <row r="2180" spans="2:2" x14ac:dyDescent="0.35">
      <c r="B2180"/>
    </row>
    <row r="2181" spans="2:2" x14ac:dyDescent="0.35">
      <c r="B2181"/>
    </row>
    <row r="2182" spans="2:2" x14ac:dyDescent="0.35">
      <c r="B2182"/>
    </row>
    <row r="2183" spans="2:2" x14ac:dyDescent="0.35">
      <c r="B2183"/>
    </row>
    <row r="2184" spans="2:2" x14ac:dyDescent="0.35">
      <c r="B2184"/>
    </row>
    <row r="2185" spans="2:2" x14ac:dyDescent="0.35">
      <c r="B2185"/>
    </row>
    <row r="2186" spans="2:2" x14ac:dyDescent="0.35">
      <c r="B2186"/>
    </row>
    <row r="2187" spans="2:2" x14ac:dyDescent="0.35">
      <c r="B2187"/>
    </row>
    <row r="2188" spans="2:2" x14ac:dyDescent="0.35">
      <c r="B2188"/>
    </row>
    <row r="2189" spans="2:2" x14ac:dyDescent="0.35">
      <c r="B2189"/>
    </row>
    <row r="2190" spans="2:2" x14ac:dyDescent="0.35">
      <c r="B2190"/>
    </row>
    <row r="2191" spans="2:2" x14ac:dyDescent="0.35">
      <c r="B2191"/>
    </row>
    <row r="2192" spans="2:2" x14ac:dyDescent="0.35">
      <c r="B2192"/>
    </row>
    <row r="2193" spans="1:2" x14ac:dyDescent="0.35">
      <c r="B2193"/>
    </row>
    <row r="2194" spans="1:2" ht="15.5" x14ac:dyDescent="0.35">
      <c r="A2194" s="49"/>
      <c r="B2194" s="49"/>
    </row>
    <row r="2195" spans="1:2" x14ac:dyDescent="0.35">
      <c r="B2195"/>
    </row>
    <row r="2196" spans="1:2" x14ac:dyDescent="0.35">
      <c r="B2196"/>
    </row>
    <row r="2197" spans="1:2" x14ac:dyDescent="0.35">
      <c r="B2197"/>
    </row>
    <row r="2198" spans="1:2" x14ac:dyDescent="0.35">
      <c r="B2198"/>
    </row>
    <row r="2199" spans="1:2" x14ac:dyDescent="0.35">
      <c r="B2199"/>
    </row>
    <row r="2200" spans="1:2" x14ac:dyDescent="0.35">
      <c r="B2200"/>
    </row>
    <row r="2201" spans="1:2" x14ac:dyDescent="0.35">
      <c r="B2201"/>
    </row>
    <row r="2202" spans="1:2" x14ac:dyDescent="0.35">
      <c r="B2202"/>
    </row>
    <row r="2203" spans="1:2" x14ac:dyDescent="0.35">
      <c r="B2203"/>
    </row>
    <row r="2204" spans="1:2" ht="15.5" x14ac:dyDescent="0.35">
      <c r="A2204" s="49"/>
      <c r="B2204"/>
    </row>
    <row r="2205" spans="1:2" x14ac:dyDescent="0.35">
      <c r="B2205"/>
    </row>
    <row r="2206" spans="1:2" x14ac:dyDescent="0.35">
      <c r="B2206"/>
    </row>
    <row r="2207" spans="1:2" x14ac:dyDescent="0.35">
      <c r="B2207"/>
    </row>
    <row r="2208" spans="1:2" x14ac:dyDescent="0.35">
      <c r="B2208"/>
    </row>
    <row r="2209" spans="1:2" x14ac:dyDescent="0.35">
      <c r="B2209"/>
    </row>
    <row r="2210" spans="1:2" x14ac:dyDescent="0.35">
      <c r="B2210"/>
    </row>
    <row r="2211" spans="1:2" x14ac:dyDescent="0.35">
      <c r="B2211"/>
    </row>
    <row r="2212" spans="1:2" x14ac:dyDescent="0.35">
      <c r="B2212"/>
    </row>
    <row r="2213" spans="1:2" x14ac:dyDescent="0.35">
      <c r="B2213"/>
    </row>
    <row r="2214" spans="1:2" x14ac:dyDescent="0.35">
      <c r="B2214"/>
    </row>
    <row r="2215" spans="1:2" x14ac:dyDescent="0.35">
      <c r="B2215"/>
    </row>
    <row r="2216" spans="1:2" x14ac:dyDescent="0.35">
      <c r="B2216"/>
    </row>
    <row r="2217" spans="1:2" x14ac:dyDescent="0.35">
      <c r="B2217"/>
    </row>
    <row r="2218" spans="1:2" x14ac:dyDescent="0.35">
      <c r="B2218"/>
    </row>
    <row r="2219" spans="1:2" x14ac:dyDescent="0.35">
      <c r="B2219"/>
    </row>
    <row r="2220" spans="1:2" x14ac:dyDescent="0.35">
      <c r="B2220"/>
    </row>
    <row r="2221" spans="1:2" x14ac:dyDescent="0.35">
      <c r="B2221"/>
    </row>
    <row r="2222" spans="1:2" ht="15.5" x14ac:dyDescent="0.35">
      <c r="A2222" s="49"/>
      <c r="B2222" s="49"/>
    </row>
    <row r="2223" spans="1:2" x14ac:dyDescent="0.35">
      <c r="B2223"/>
    </row>
    <row r="2224" spans="1:2" x14ac:dyDescent="0.35">
      <c r="B2224"/>
    </row>
    <row r="2225" spans="1:2" x14ac:dyDescent="0.35">
      <c r="B2225"/>
    </row>
    <row r="2226" spans="1:2" x14ac:dyDescent="0.35">
      <c r="B2226"/>
    </row>
    <row r="2227" spans="1:2" x14ac:dyDescent="0.35">
      <c r="B2227"/>
    </row>
    <row r="2228" spans="1:2" x14ac:dyDescent="0.35">
      <c r="B2228"/>
    </row>
    <row r="2229" spans="1:2" x14ac:dyDescent="0.35">
      <c r="B2229"/>
    </row>
    <row r="2230" spans="1:2" x14ac:dyDescent="0.35">
      <c r="B2230"/>
    </row>
    <row r="2231" spans="1:2" x14ac:dyDescent="0.35">
      <c r="B2231"/>
    </row>
    <row r="2232" spans="1:2" ht="15.5" x14ac:dyDescent="0.35">
      <c r="A2232" s="49"/>
      <c r="B2232"/>
    </row>
    <row r="2233" spans="1:2" x14ac:dyDescent="0.35">
      <c r="B2233"/>
    </row>
    <row r="2234" spans="1:2" x14ac:dyDescent="0.35">
      <c r="B2234"/>
    </row>
    <row r="2235" spans="1:2" x14ac:dyDescent="0.35">
      <c r="B2235"/>
    </row>
    <row r="2236" spans="1:2" x14ac:dyDescent="0.35">
      <c r="B2236"/>
    </row>
    <row r="2237" spans="1:2" x14ac:dyDescent="0.35">
      <c r="B2237"/>
    </row>
    <row r="2238" spans="1:2" x14ac:dyDescent="0.35">
      <c r="B2238"/>
    </row>
    <row r="2239" spans="1:2" x14ac:dyDescent="0.35">
      <c r="B2239"/>
    </row>
    <row r="2240" spans="1:2" x14ac:dyDescent="0.35">
      <c r="B2240"/>
    </row>
    <row r="2241" spans="1:2" x14ac:dyDescent="0.35">
      <c r="B2241"/>
    </row>
    <row r="2242" spans="1:2" x14ac:dyDescent="0.35">
      <c r="B2242"/>
    </row>
    <row r="2243" spans="1:2" x14ac:dyDescent="0.35">
      <c r="B2243"/>
    </row>
    <row r="2244" spans="1:2" x14ac:dyDescent="0.35">
      <c r="B2244"/>
    </row>
    <row r="2245" spans="1:2" x14ac:dyDescent="0.35">
      <c r="B2245"/>
    </row>
    <row r="2246" spans="1:2" x14ac:dyDescent="0.35">
      <c r="B2246"/>
    </row>
    <row r="2247" spans="1:2" x14ac:dyDescent="0.35">
      <c r="B2247"/>
    </row>
    <row r="2248" spans="1:2" x14ac:dyDescent="0.35">
      <c r="B2248"/>
    </row>
    <row r="2249" spans="1:2" x14ac:dyDescent="0.35">
      <c r="B2249"/>
    </row>
    <row r="2250" spans="1:2" ht="15.5" x14ac:dyDescent="0.35">
      <c r="A2250" s="49"/>
      <c r="B2250" s="49"/>
    </row>
    <row r="2251" spans="1:2" x14ac:dyDescent="0.35">
      <c r="B2251"/>
    </row>
    <row r="2252" spans="1:2" x14ac:dyDescent="0.35">
      <c r="B2252"/>
    </row>
    <row r="2253" spans="1:2" x14ac:dyDescent="0.35">
      <c r="B2253"/>
    </row>
    <row r="2254" spans="1:2" x14ac:dyDescent="0.35">
      <c r="B2254"/>
    </row>
    <row r="2255" spans="1:2" x14ac:dyDescent="0.35">
      <c r="B2255"/>
    </row>
    <row r="2256" spans="1:2" x14ac:dyDescent="0.35">
      <c r="B2256"/>
    </row>
    <row r="2257" spans="1:2" x14ac:dyDescent="0.35">
      <c r="B2257"/>
    </row>
    <row r="2258" spans="1:2" x14ac:dyDescent="0.35">
      <c r="B2258"/>
    </row>
    <row r="2259" spans="1:2" x14ac:dyDescent="0.35">
      <c r="B2259"/>
    </row>
    <row r="2260" spans="1:2" ht="15.5" x14ac:dyDescent="0.35">
      <c r="A2260" s="49"/>
      <c r="B2260"/>
    </row>
    <row r="2261" spans="1:2" x14ac:dyDescent="0.35">
      <c r="B2261"/>
    </row>
    <row r="2262" spans="1:2" x14ac:dyDescent="0.35">
      <c r="B2262"/>
    </row>
    <row r="2263" spans="1:2" x14ac:dyDescent="0.35">
      <c r="B2263"/>
    </row>
    <row r="2264" spans="1:2" x14ac:dyDescent="0.35">
      <c r="B2264"/>
    </row>
    <row r="2265" spans="1:2" x14ac:dyDescent="0.35">
      <c r="B2265"/>
    </row>
    <row r="2266" spans="1:2" x14ac:dyDescent="0.35">
      <c r="B2266"/>
    </row>
    <row r="2267" spans="1:2" x14ac:dyDescent="0.35">
      <c r="B2267"/>
    </row>
    <row r="2268" spans="1:2" x14ac:dyDescent="0.35">
      <c r="B2268"/>
    </row>
    <row r="2269" spans="1:2" x14ac:dyDescent="0.35">
      <c r="B2269"/>
    </row>
    <row r="2270" spans="1:2" x14ac:dyDescent="0.35">
      <c r="B2270"/>
    </row>
    <row r="2271" spans="1:2" x14ac:dyDescent="0.35">
      <c r="B2271"/>
    </row>
    <row r="2272" spans="1:2" x14ac:dyDescent="0.35">
      <c r="B2272"/>
    </row>
    <row r="2273" spans="1:2" x14ac:dyDescent="0.35">
      <c r="B2273"/>
    </row>
    <row r="2274" spans="1:2" x14ac:dyDescent="0.35">
      <c r="B2274"/>
    </row>
    <row r="2275" spans="1:2" x14ac:dyDescent="0.35">
      <c r="B2275"/>
    </row>
    <row r="2276" spans="1:2" ht="15.5" x14ac:dyDescent="0.35">
      <c r="A2276" s="49"/>
      <c r="B2276" s="49"/>
    </row>
    <row r="2277" spans="1:2" x14ac:dyDescent="0.35">
      <c r="B2277"/>
    </row>
    <row r="2278" spans="1:2" x14ac:dyDescent="0.35">
      <c r="B2278"/>
    </row>
    <row r="2279" spans="1:2" x14ac:dyDescent="0.35">
      <c r="B2279"/>
    </row>
    <row r="2280" spans="1:2" x14ac:dyDescent="0.35">
      <c r="B2280"/>
    </row>
    <row r="2281" spans="1:2" x14ac:dyDescent="0.35">
      <c r="B2281"/>
    </row>
    <row r="2282" spans="1:2" x14ac:dyDescent="0.35">
      <c r="B2282"/>
    </row>
    <row r="2283" spans="1:2" x14ac:dyDescent="0.35">
      <c r="B2283"/>
    </row>
    <row r="2284" spans="1:2" x14ac:dyDescent="0.35">
      <c r="B2284"/>
    </row>
    <row r="2285" spans="1:2" x14ac:dyDescent="0.35">
      <c r="B2285"/>
    </row>
    <row r="2286" spans="1:2" ht="15.5" x14ac:dyDescent="0.35">
      <c r="A2286" s="49"/>
      <c r="B2286"/>
    </row>
    <row r="2287" spans="1:2" x14ac:dyDescent="0.35">
      <c r="B2287"/>
    </row>
    <row r="2288" spans="1:2" x14ac:dyDescent="0.35">
      <c r="B2288"/>
    </row>
    <row r="2289" spans="1:2" x14ac:dyDescent="0.35">
      <c r="B2289"/>
    </row>
    <row r="2290" spans="1:2" x14ac:dyDescent="0.35">
      <c r="B2290"/>
    </row>
    <row r="2291" spans="1:2" x14ac:dyDescent="0.35">
      <c r="B2291"/>
    </row>
    <row r="2292" spans="1:2" x14ac:dyDescent="0.35">
      <c r="B2292"/>
    </row>
    <row r="2293" spans="1:2" x14ac:dyDescent="0.35">
      <c r="B2293"/>
    </row>
    <row r="2294" spans="1:2" x14ac:dyDescent="0.35">
      <c r="B2294"/>
    </row>
    <row r="2295" spans="1:2" x14ac:dyDescent="0.35">
      <c r="B2295"/>
    </row>
    <row r="2296" spans="1:2" x14ac:dyDescent="0.35">
      <c r="B2296"/>
    </row>
    <row r="2297" spans="1:2" x14ac:dyDescent="0.35">
      <c r="B2297"/>
    </row>
    <row r="2298" spans="1:2" x14ac:dyDescent="0.35">
      <c r="B2298"/>
    </row>
    <row r="2299" spans="1:2" x14ac:dyDescent="0.35">
      <c r="B2299"/>
    </row>
    <row r="2300" spans="1:2" x14ac:dyDescent="0.35">
      <c r="B2300"/>
    </row>
    <row r="2301" spans="1:2" x14ac:dyDescent="0.35">
      <c r="B2301"/>
    </row>
    <row r="2302" spans="1:2" x14ac:dyDescent="0.35">
      <c r="B2302"/>
    </row>
    <row r="2303" spans="1:2" x14ac:dyDescent="0.35">
      <c r="B2303"/>
    </row>
    <row r="2304" spans="1:2" ht="15.5" x14ac:dyDescent="0.35">
      <c r="A2304" s="49"/>
      <c r="B2304" s="49"/>
    </row>
    <row r="2305" spans="1:2" x14ac:dyDescent="0.35">
      <c r="B2305"/>
    </row>
    <row r="2306" spans="1:2" x14ac:dyDescent="0.35">
      <c r="B2306"/>
    </row>
    <row r="2307" spans="1:2" x14ac:dyDescent="0.35">
      <c r="B2307"/>
    </row>
    <row r="2308" spans="1:2" x14ac:dyDescent="0.35">
      <c r="B2308"/>
    </row>
    <row r="2309" spans="1:2" x14ac:dyDescent="0.35">
      <c r="B2309"/>
    </row>
    <row r="2310" spans="1:2" x14ac:dyDescent="0.35">
      <c r="B2310"/>
    </row>
    <row r="2311" spans="1:2" x14ac:dyDescent="0.35">
      <c r="B2311"/>
    </row>
    <row r="2312" spans="1:2" x14ac:dyDescent="0.35">
      <c r="B2312"/>
    </row>
    <row r="2313" spans="1:2" x14ac:dyDescent="0.35">
      <c r="B2313"/>
    </row>
    <row r="2314" spans="1:2" ht="15.5" x14ac:dyDescent="0.35">
      <c r="A2314" s="49"/>
      <c r="B2314"/>
    </row>
    <row r="2315" spans="1:2" x14ac:dyDescent="0.35">
      <c r="B2315"/>
    </row>
    <row r="2316" spans="1:2" x14ac:dyDescent="0.35">
      <c r="B2316"/>
    </row>
    <row r="2317" spans="1:2" x14ac:dyDescent="0.35">
      <c r="B2317"/>
    </row>
    <row r="2318" spans="1:2" x14ac:dyDescent="0.35">
      <c r="B2318"/>
    </row>
    <row r="2319" spans="1:2" x14ac:dyDescent="0.35">
      <c r="B2319"/>
    </row>
    <row r="2320" spans="1:2" x14ac:dyDescent="0.35">
      <c r="B2320"/>
    </row>
    <row r="2321" spans="1:2" x14ac:dyDescent="0.35">
      <c r="B2321"/>
    </row>
    <row r="2322" spans="1:2" x14ac:dyDescent="0.35">
      <c r="B2322"/>
    </row>
    <row r="2323" spans="1:2" x14ac:dyDescent="0.35">
      <c r="B2323"/>
    </row>
    <row r="2324" spans="1:2" x14ac:dyDescent="0.35">
      <c r="B2324"/>
    </row>
    <row r="2325" spans="1:2" x14ac:dyDescent="0.35">
      <c r="B2325"/>
    </row>
    <row r="2326" spans="1:2" x14ac:dyDescent="0.35">
      <c r="B2326"/>
    </row>
    <row r="2327" spans="1:2" x14ac:dyDescent="0.35">
      <c r="B2327"/>
    </row>
    <row r="2328" spans="1:2" x14ac:dyDescent="0.35">
      <c r="B2328"/>
    </row>
    <row r="2329" spans="1:2" x14ac:dyDescent="0.35">
      <c r="B2329"/>
    </row>
    <row r="2330" spans="1:2" x14ac:dyDescent="0.35">
      <c r="B2330"/>
    </row>
    <row r="2331" spans="1:2" x14ac:dyDescent="0.35">
      <c r="B2331"/>
    </row>
    <row r="2332" spans="1:2" ht="15.5" x14ac:dyDescent="0.35">
      <c r="A2332" s="49"/>
      <c r="B2332" s="49"/>
    </row>
    <row r="2333" spans="1:2" x14ac:dyDescent="0.35">
      <c r="B2333"/>
    </row>
    <row r="2334" spans="1:2" x14ac:dyDescent="0.35">
      <c r="B2334"/>
    </row>
    <row r="2335" spans="1:2" x14ac:dyDescent="0.35">
      <c r="B2335"/>
    </row>
    <row r="2336" spans="1:2" x14ac:dyDescent="0.35">
      <c r="B2336"/>
    </row>
    <row r="2337" spans="1:2" x14ac:dyDescent="0.35">
      <c r="B2337"/>
    </row>
    <row r="2338" spans="1:2" x14ac:dyDescent="0.35">
      <c r="B2338"/>
    </row>
    <row r="2339" spans="1:2" x14ac:dyDescent="0.35">
      <c r="B2339"/>
    </row>
    <row r="2340" spans="1:2" x14ac:dyDescent="0.35">
      <c r="B2340"/>
    </row>
    <row r="2341" spans="1:2" x14ac:dyDescent="0.35">
      <c r="B2341"/>
    </row>
    <row r="2342" spans="1:2" ht="15.5" x14ac:dyDescent="0.35">
      <c r="A2342" s="49"/>
      <c r="B2342"/>
    </row>
    <row r="2343" spans="1:2" x14ac:dyDescent="0.35">
      <c r="B2343"/>
    </row>
    <row r="2344" spans="1:2" x14ac:dyDescent="0.35">
      <c r="B2344"/>
    </row>
    <row r="2345" spans="1:2" x14ac:dyDescent="0.35">
      <c r="B2345"/>
    </row>
    <row r="2346" spans="1:2" x14ac:dyDescent="0.35">
      <c r="B2346"/>
    </row>
    <row r="2347" spans="1:2" x14ac:dyDescent="0.35">
      <c r="B2347"/>
    </row>
    <row r="2348" spans="1:2" x14ac:dyDescent="0.35">
      <c r="B2348"/>
    </row>
    <row r="2349" spans="1:2" x14ac:dyDescent="0.35">
      <c r="B2349"/>
    </row>
    <row r="2350" spans="1:2" x14ac:dyDescent="0.35">
      <c r="B2350"/>
    </row>
    <row r="2351" spans="1:2" x14ac:dyDescent="0.35">
      <c r="B2351"/>
    </row>
    <row r="2352" spans="1:2" x14ac:dyDescent="0.35">
      <c r="B2352"/>
    </row>
    <row r="2353" spans="2:2" x14ac:dyDescent="0.35">
      <c r="B2353"/>
    </row>
    <row r="2354" spans="2:2" x14ac:dyDescent="0.35">
      <c r="B2354"/>
    </row>
    <row r="2355" spans="2:2" x14ac:dyDescent="0.35">
      <c r="B2355"/>
    </row>
    <row r="2356" spans="2:2" x14ac:dyDescent="0.35">
      <c r="B2356"/>
    </row>
    <row r="2357" spans="2:2" x14ac:dyDescent="0.35">
      <c r="B2357"/>
    </row>
    <row r="2358" spans="2:2" x14ac:dyDescent="0.35">
      <c r="B2358"/>
    </row>
    <row r="2359" spans="2:2" x14ac:dyDescent="0.35">
      <c r="B2359"/>
    </row>
    <row r="2360" spans="2:2" x14ac:dyDescent="0.35">
      <c r="B2360"/>
    </row>
    <row r="2361" spans="2:2" x14ac:dyDescent="0.35">
      <c r="B2361"/>
    </row>
    <row r="2362" spans="2:2" x14ac:dyDescent="0.35">
      <c r="B2362"/>
    </row>
    <row r="2363" spans="2:2" x14ac:dyDescent="0.35">
      <c r="B2363"/>
    </row>
    <row r="2364" spans="2:2" x14ac:dyDescent="0.35">
      <c r="B2364"/>
    </row>
    <row r="2365" spans="2:2" x14ac:dyDescent="0.35">
      <c r="B2365"/>
    </row>
    <row r="2366" spans="2:2" x14ac:dyDescent="0.35">
      <c r="B2366"/>
    </row>
    <row r="2367" spans="2:2" x14ac:dyDescent="0.35">
      <c r="B2367"/>
    </row>
    <row r="2368" spans="2:2" x14ac:dyDescent="0.35">
      <c r="B2368"/>
    </row>
    <row r="2369" spans="1:2" x14ac:dyDescent="0.35">
      <c r="B2369"/>
    </row>
    <row r="2370" spans="1:2" x14ac:dyDescent="0.35">
      <c r="B2370"/>
    </row>
    <row r="2371" spans="1:2" x14ac:dyDescent="0.35">
      <c r="B2371"/>
    </row>
    <row r="2372" spans="1:2" x14ac:dyDescent="0.35">
      <c r="B2372"/>
    </row>
    <row r="2373" spans="1:2" x14ac:dyDescent="0.35">
      <c r="B2373"/>
    </row>
    <row r="2374" spans="1:2" x14ac:dyDescent="0.35">
      <c r="B2374"/>
    </row>
    <row r="2375" spans="1:2" x14ac:dyDescent="0.35">
      <c r="B2375"/>
    </row>
    <row r="2376" spans="1:2" x14ac:dyDescent="0.35">
      <c r="B2376"/>
    </row>
    <row r="2377" spans="1:2" ht="15.5" x14ac:dyDescent="0.35">
      <c r="A2377" s="49"/>
      <c r="B2377" s="49"/>
    </row>
    <row r="2378" spans="1:2" x14ac:dyDescent="0.35">
      <c r="B2378"/>
    </row>
    <row r="2379" spans="1:2" x14ac:dyDescent="0.35">
      <c r="B2379"/>
    </row>
    <row r="2380" spans="1:2" x14ac:dyDescent="0.35">
      <c r="B2380"/>
    </row>
    <row r="2381" spans="1:2" x14ac:dyDescent="0.35">
      <c r="B2381"/>
    </row>
    <row r="2382" spans="1:2" x14ac:dyDescent="0.35">
      <c r="B2382"/>
    </row>
    <row r="2383" spans="1:2" x14ac:dyDescent="0.35">
      <c r="B2383"/>
    </row>
    <row r="2384" spans="1:2" x14ac:dyDescent="0.35">
      <c r="B2384"/>
    </row>
    <row r="2385" spans="1:2" x14ac:dyDescent="0.35">
      <c r="B2385"/>
    </row>
    <row r="2386" spans="1:2" x14ac:dyDescent="0.35">
      <c r="B2386"/>
    </row>
    <row r="2387" spans="1:2" ht="15.5" x14ac:dyDescent="0.35">
      <c r="A2387" s="49"/>
      <c r="B2387"/>
    </row>
    <row r="2388" spans="1:2" x14ac:dyDescent="0.35">
      <c r="B2388"/>
    </row>
    <row r="2389" spans="1:2" x14ac:dyDescent="0.35">
      <c r="B2389"/>
    </row>
    <row r="2390" spans="1:2" x14ac:dyDescent="0.35">
      <c r="B2390"/>
    </row>
    <row r="2391" spans="1:2" x14ac:dyDescent="0.35">
      <c r="B2391"/>
    </row>
    <row r="2392" spans="1:2" x14ac:dyDescent="0.35">
      <c r="B2392"/>
    </row>
    <row r="2393" spans="1:2" x14ac:dyDescent="0.35">
      <c r="B2393"/>
    </row>
    <row r="2394" spans="1:2" x14ac:dyDescent="0.35">
      <c r="B2394"/>
    </row>
    <row r="2395" spans="1:2" x14ac:dyDescent="0.35">
      <c r="B2395"/>
    </row>
    <row r="2396" spans="1:2" x14ac:dyDescent="0.35">
      <c r="B2396"/>
    </row>
    <row r="2397" spans="1:2" x14ac:dyDescent="0.35">
      <c r="B2397"/>
    </row>
    <row r="2398" spans="1:2" x14ac:dyDescent="0.35">
      <c r="B2398"/>
    </row>
    <row r="2399" spans="1:2" x14ac:dyDescent="0.35">
      <c r="B2399"/>
    </row>
    <row r="2400" spans="1:2" x14ac:dyDescent="0.35">
      <c r="B2400"/>
    </row>
    <row r="2401" spans="2:2" x14ac:dyDescent="0.35">
      <c r="B2401"/>
    </row>
    <row r="2402" spans="2:2" x14ac:dyDescent="0.35">
      <c r="B2402"/>
    </row>
    <row r="2403" spans="2:2" x14ac:dyDescent="0.35">
      <c r="B2403"/>
    </row>
    <row r="2404" spans="2:2" x14ac:dyDescent="0.35">
      <c r="B2404"/>
    </row>
    <row r="2405" spans="2:2" x14ac:dyDescent="0.35">
      <c r="B2405"/>
    </row>
    <row r="2406" spans="2:2" x14ac:dyDescent="0.35">
      <c r="B2406"/>
    </row>
    <row r="2407" spans="2:2" x14ac:dyDescent="0.35">
      <c r="B2407"/>
    </row>
    <row r="2408" spans="2:2" x14ac:dyDescent="0.35">
      <c r="B2408"/>
    </row>
    <row r="2409" spans="2:2" x14ac:dyDescent="0.35">
      <c r="B2409"/>
    </row>
    <row r="2410" spans="2:2" x14ac:dyDescent="0.35">
      <c r="B2410"/>
    </row>
    <row r="2411" spans="2:2" x14ac:dyDescent="0.35">
      <c r="B2411"/>
    </row>
    <row r="2412" spans="2:2" x14ac:dyDescent="0.35">
      <c r="B2412"/>
    </row>
    <row r="2413" spans="2:2" x14ac:dyDescent="0.35">
      <c r="B2413"/>
    </row>
    <row r="2414" spans="2:2" x14ac:dyDescent="0.35">
      <c r="B2414"/>
    </row>
    <row r="2415" spans="2:2" x14ac:dyDescent="0.35">
      <c r="B2415"/>
    </row>
    <row r="2416" spans="2:2" x14ac:dyDescent="0.35">
      <c r="B2416"/>
    </row>
    <row r="2417" spans="1:2" x14ac:dyDescent="0.35">
      <c r="B2417"/>
    </row>
    <row r="2418" spans="1:2" x14ac:dyDescent="0.35">
      <c r="B2418"/>
    </row>
    <row r="2419" spans="1:2" x14ac:dyDescent="0.35">
      <c r="B2419"/>
    </row>
    <row r="2420" spans="1:2" x14ac:dyDescent="0.35">
      <c r="B2420"/>
    </row>
    <row r="2421" spans="1:2" x14ac:dyDescent="0.35">
      <c r="B2421"/>
    </row>
    <row r="2422" spans="1:2" ht="15.5" x14ac:dyDescent="0.35">
      <c r="A2422" s="49"/>
      <c r="B2422" s="49"/>
    </row>
    <row r="2423" spans="1:2" x14ac:dyDescent="0.35">
      <c r="B2423"/>
    </row>
    <row r="2424" spans="1:2" x14ac:dyDescent="0.35">
      <c r="B2424"/>
    </row>
    <row r="2425" spans="1:2" x14ac:dyDescent="0.35">
      <c r="B2425"/>
    </row>
    <row r="2426" spans="1:2" x14ac:dyDescent="0.35">
      <c r="B2426"/>
    </row>
    <row r="2427" spans="1:2" x14ac:dyDescent="0.35">
      <c r="B2427"/>
    </row>
    <row r="2428" spans="1:2" x14ac:dyDescent="0.35">
      <c r="B2428"/>
    </row>
    <row r="2429" spans="1:2" x14ac:dyDescent="0.35">
      <c r="B2429"/>
    </row>
    <row r="2430" spans="1:2" x14ac:dyDescent="0.35">
      <c r="B2430"/>
    </row>
    <row r="2431" spans="1:2" x14ac:dyDescent="0.35">
      <c r="B2431"/>
    </row>
    <row r="2432" spans="1:2" ht="15.5" x14ac:dyDescent="0.35">
      <c r="A2432" s="49"/>
      <c r="B2432"/>
    </row>
    <row r="2433" spans="2:2" x14ac:dyDescent="0.35">
      <c r="B2433"/>
    </row>
    <row r="2434" spans="2:2" x14ac:dyDescent="0.35">
      <c r="B2434"/>
    </row>
    <row r="2435" spans="2:2" x14ac:dyDescent="0.35">
      <c r="B2435"/>
    </row>
    <row r="2436" spans="2:2" x14ac:dyDescent="0.35">
      <c r="B2436"/>
    </row>
    <row r="2437" spans="2:2" x14ac:dyDescent="0.35">
      <c r="B2437"/>
    </row>
    <row r="2438" spans="2:2" x14ac:dyDescent="0.35">
      <c r="B2438"/>
    </row>
    <row r="2439" spans="2:2" x14ac:dyDescent="0.35">
      <c r="B2439"/>
    </row>
    <row r="2440" spans="2:2" x14ac:dyDescent="0.35">
      <c r="B2440"/>
    </row>
    <row r="2441" spans="2:2" x14ac:dyDescent="0.35">
      <c r="B2441"/>
    </row>
    <row r="2442" spans="2:2" x14ac:dyDescent="0.35">
      <c r="B2442"/>
    </row>
    <row r="2443" spans="2:2" x14ac:dyDescent="0.35">
      <c r="B2443"/>
    </row>
    <row r="2444" spans="2:2" x14ac:dyDescent="0.35">
      <c r="B2444"/>
    </row>
    <row r="2445" spans="2:2" x14ac:dyDescent="0.35">
      <c r="B2445"/>
    </row>
    <row r="2446" spans="2:2" x14ac:dyDescent="0.35">
      <c r="B2446"/>
    </row>
    <row r="2447" spans="2:2" x14ac:dyDescent="0.35">
      <c r="B2447"/>
    </row>
    <row r="2448" spans="2:2" x14ac:dyDescent="0.35">
      <c r="B2448"/>
    </row>
    <row r="2449" spans="2:2" x14ac:dyDescent="0.35">
      <c r="B2449"/>
    </row>
    <row r="2450" spans="2:2" x14ac:dyDescent="0.35">
      <c r="B2450"/>
    </row>
    <row r="2451" spans="2:2" x14ac:dyDescent="0.35">
      <c r="B2451"/>
    </row>
    <row r="2452" spans="2:2" x14ac:dyDescent="0.35">
      <c r="B2452"/>
    </row>
    <row r="2453" spans="2:2" x14ac:dyDescent="0.35">
      <c r="B2453"/>
    </row>
    <row r="2454" spans="2:2" x14ac:dyDescent="0.35">
      <c r="B2454"/>
    </row>
    <row r="2455" spans="2:2" x14ac:dyDescent="0.35">
      <c r="B2455"/>
    </row>
    <row r="2456" spans="2:2" x14ac:dyDescent="0.35">
      <c r="B2456"/>
    </row>
    <row r="2457" spans="2:2" x14ac:dyDescent="0.35">
      <c r="B2457"/>
    </row>
    <row r="2458" spans="2:2" x14ac:dyDescent="0.35">
      <c r="B2458"/>
    </row>
    <row r="2459" spans="2:2" x14ac:dyDescent="0.35">
      <c r="B2459"/>
    </row>
    <row r="2460" spans="2:2" x14ac:dyDescent="0.35">
      <c r="B2460"/>
    </row>
    <row r="2461" spans="2:2" x14ac:dyDescent="0.35">
      <c r="B2461"/>
    </row>
    <row r="2462" spans="2:2" x14ac:dyDescent="0.35">
      <c r="B2462"/>
    </row>
    <row r="2463" spans="2:2" x14ac:dyDescent="0.35">
      <c r="B2463"/>
    </row>
    <row r="2464" spans="2:2" x14ac:dyDescent="0.35">
      <c r="B2464"/>
    </row>
    <row r="2465" spans="1:27" x14ac:dyDescent="0.35">
      <c r="B2465"/>
    </row>
    <row r="2466" spans="1:27" x14ac:dyDescent="0.35">
      <c r="B2466"/>
      <c r="H2466" s="51"/>
      <c r="I2466" s="51"/>
      <c r="J2466" s="51"/>
      <c r="K2466" s="51"/>
      <c r="L2466" s="51"/>
      <c r="M2466" s="51"/>
      <c r="N2466" s="51"/>
      <c r="O2466" s="51"/>
      <c r="P2466" s="51"/>
      <c r="Q2466" s="51"/>
      <c r="R2466" s="51"/>
      <c r="S2466" s="51"/>
      <c r="T2466" s="51"/>
      <c r="U2466" s="51"/>
      <c r="V2466" s="51"/>
      <c r="W2466" s="51"/>
      <c r="X2466" s="51"/>
      <c r="Y2466" s="51"/>
      <c r="Z2466" s="51"/>
      <c r="AA2466" s="51"/>
    </row>
    <row r="2467" spans="1:27" ht="15.5" x14ac:dyDescent="0.35">
      <c r="A2467" s="50"/>
      <c r="B2467" s="50"/>
      <c r="C2467" s="51"/>
      <c r="D2467" s="51"/>
      <c r="E2467" s="51"/>
      <c r="F2467" s="51"/>
      <c r="G2467" s="51"/>
    </row>
    <row r="2468" spans="1:27" x14ac:dyDescent="0.35">
      <c r="B2468"/>
    </row>
    <row r="2469" spans="1:27" x14ac:dyDescent="0.35">
      <c r="B2469"/>
    </row>
    <row r="2470" spans="1:27" x14ac:dyDescent="0.35">
      <c r="B2470"/>
    </row>
    <row r="2471" spans="1:27" x14ac:dyDescent="0.35">
      <c r="B2471"/>
    </row>
    <row r="2472" spans="1:27" x14ac:dyDescent="0.35">
      <c r="B2472"/>
    </row>
    <row r="2473" spans="1:27" x14ac:dyDescent="0.35">
      <c r="B2473"/>
    </row>
    <row r="2474" spans="1:27" x14ac:dyDescent="0.35">
      <c r="B2474"/>
    </row>
    <row r="2475" spans="1:27" x14ac:dyDescent="0.35">
      <c r="B2475"/>
    </row>
    <row r="2476" spans="1:27" x14ac:dyDescent="0.35">
      <c r="B2476"/>
    </row>
    <row r="2477" spans="1:27" ht="15.5" x14ac:dyDescent="0.35">
      <c r="A2477" s="49"/>
      <c r="B2477"/>
    </row>
    <row r="2478" spans="1:27" x14ac:dyDescent="0.35">
      <c r="B2478"/>
    </row>
    <row r="2479" spans="1:27" x14ac:dyDescent="0.35">
      <c r="B2479"/>
    </row>
    <row r="2480" spans="1:27" x14ac:dyDescent="0.35">
      <c r="B2480"/>
    </row>
    <row r="2481" spans="2:2" x14ac:dyDescent="0.35">
      <c r="B2481"/>
    </row>
    <row r="2482" spans="2:2" x14ac:dyDescent="0.35">
      <c r="B2482"/>
    </row>
    <row r="2483" spans="2:2" x14ac:dyDescent="0.35">
      <c r="B2483"/>
    </row>
    <row r="2484" spans="2:2" x14ac:dyDescent="0.35">
      <c r="B2484"/>
    </row>
    <row r="2485" spans="2:2" x14ac:dyDescent="0.35">
      <c r="B2485"/>
    </row>
    <row r="2486" spans="2:2" x14ac:dyDescent="0.35">
      <c r="B2486"/>
    </row>
    <row r="2487" spans="2:2" x14ac:dyDescent="0.35">
      <c r="B2487"/>
    </row>
    <row r="2488" spans="2:2" x14ac:dyDescent="0.35">
      <c r="B2488"/>
    </row>
    <row r="2489" spans="2:2" x14ac:dyDescent="0.35">
      <c r="B2489"/>
    </row>
    <row r="2490" spans="2:2" x14ac:dyDescent="0.35">
      <c r="B2490"/>
    </row>
    <row r="2491" spans="2:2" x14ac:dyDescent="0.35">
      <c r="B2491"/>
    </row>
    <row r="2492" spans="2:2" x14ac:dyDescent="0.35">
      <c r="B2492"/>
    </row>
    <row r="2493" spans="2:2" x14ac:dyDescent="0.35">
      <c r="B2493"/>
    </row>
    <row r="2494" spans="2:2" x14ac:dyDescent="0.35">
      <c r="B2494"/>
    </row>
    <row r="2495" spans="2:2" x14ac:dyDescent="0.35">
      <c r="B2495"/>
    </row>
    <row r="2496" spans="2:2" x14ac:dyDescent="0.35">
      <c r="B2496"/>
    </row>
    <row r="2497" spans="1:2" x14ac:dyDescent="0.35">
      <c r="B2497"/>
    </row>
    <row r="2498" spans="1:2" x14ac:dyDescent="0.35">
      <c r="B2498"/>
    </row>
    <row r="2499" spans="1:2" x14ac:dyDescent="0.35">
      <c r="B2499"/>
    </row>
    <row r="2500" spans="1:2" x14ac:dyDescent="0.35">
      <c r="B2500"/>
    </row>
    <row r="2501" spans="1:2" x14ac:dyDescent="0.35">
      <c r="B2501"/>
    </row>
    <row r="2502" spans="1:2" x14ac:dyDescent="0.35">
      <c r="B2502"/>
    </row>
    <row r="2503" spans="1:2" x14ac:dyDescent="0.35">
      <c r="B2503"/>
    </row>
    <row r="2504" spans="1:2" x14ac:dyDescent="0.35">
      <c r="B2504"/>
    </row>
    <row r="2505" spans="1:2" x14ac:dyDescent="0.35">
      <c r="B2505"/>
    </row>
    <row r="2506" spans="1:2" x14ac:dyDescent="0.35">
      <c r="B2506"/>
    </row>
    <row r="2507" spans="1:2" x14ac:dyDescent="0.35">
      <c r="B2507"/>
    </row>
    <row r="2508" spans="1:2" x14ac:dyDescent="0.35">
      <c r="B2508"/>
    </row>
    <row r="2509" spans="1:2" x14ac:dyDescent="0.35">
      <c r="B2509"/>
    </row>
    <row r="2510" spans="1:2" x14ac:dyDescent="0.35">
      <c r="B2510"/>
    </row>
    <row r="2511" spans="1:2" x14ac:dyDescent="0.35">
      <c r="B2511"/>
    </row>
    <row r="2512" spans="1:2" ht="15.5" x14ac:dyDescent="0.35">
      <c r="A2512" s="49"/>
      <c r="B2512" s="49"/>
    </row>
    <row r="2513" spans="1:2" x14ac:dyDescent="0.35">
      <c r="B2513"/>
    </row>
    <row r="2514" spans="1:2" x14ac:dyDescent="0.35">
      <c r="B2514"/>
    </row>
    <row r="2515" spans="1:2" x14ac:dyDescent="0.35">
      <c r="B2515"/>
    </row>
    <row r="2516" spans="1:2" x14ac:dyDescent="0.35">
      <c r="B2516"/>
    </row>
    <row r="2517" spans="1:2" x14ac:dyDescent="0.35">
      <c r="B2517"/>
    </row>
    <row r="2518" spans="1:2" x14ac:dyDescent="0.35">
      <c r="B2518"/>
    </row>
    <row r="2519" spans="1:2" x14ac:dyDescent="0.35">
      <c r="B2519"/>
    </row>
    <row r="2520" spans="1:2" x14ac:dyDescent="0.35">
      <c r="B2520"/>
    </row>
    <row r="2521" spans="1:2" x14ac:dyDescent="0.35">
      <c r="B2521"/>
    </row>
    <row r="2522" spans="1:2" ht="15.5" x14ac:dyDescent="0.35">
      <c r="A2522" s="49"/>
      <c r="B2522"/>
    </row>
    <row r="2523" spans="1:2" x14ac:dyDescent="0.35">
      <c r="B2523"/>
    </row>
    <row r="2524" spans="1:2" x14ac:dyDescent="0.35">
      <c r="B2524"/>
    </row>
    <row r="2525" spans="1:2" x14ac:dyDescent="0.35">
      <c r="B2525"/>
    </row>
    <row r="2526" spans="1:2" x14ac:dyDescent="0.35">
      <c r="B2526"/>
    </row>
    <row r="2527" spans="1:2" x14ac:dyDescent="0.35">
      <c r="B2527"/>
    </row>
    <row r="2528" spans="1:2" x14ac:dyDescent="0.35">
      <c r="B2528"/>
    </row>
    <row r="2529" spans="2:2" x14ac:dyDescent="0.35">
      <c r="B2529"/>
    </row>
    <row r="2530" spans="2:2" x14ac:dyDescent="0.35">
      <c r="B2530"/>
    </row>
    <row r="2531" spans="2:2" x14ac:dyDescent="0.35">
      <c r="B2531"/>
    </row>
    <row r="2532" spans="2:2" x14ac:dyDescent="0.35">
      <c r="B2532"/>
    </row>
    <row r="2533" spans="2:2" x14ac:dyDescent="0.35">
      <c r="B2533"/>
    </row>
    <row r="2534" spans="2:2" x14ac:dyDescent="0.35">
      <c r="B2534"/>
    </row>
    <row r="2535" spans="2:2" x14ac:dyDescent="0.35">
      <c r="B2535"/>
    </row>
    <row r="2536" spans="2:2" x14ac:dyDescent="0.35">
      <c r="B2536"/>
    </row>
    <row r="2537" spans="2:2" x14ac:dyDescent="0.35">
      <c r="B2537"/>
    </row>
    <row r="2538" spans="2:2" x14ac:dyDescent="0.35">
      <c r="B2538"/>
    </row>
    <row r="2539" spans="2:2" x14ac:dyDescent="0.35">
      <c r="B2539"/>
    </row>
    <row r="2540" spans="2:2" x14ac:dyDescent="0.35">
      <c r="B2540"/>
    </row>
    <row r="2541" spans="2:2" x14ac:dyDescent="0.35">
      <c r="B2541"/>
    </row>
    <row r="2542" spans="2:2" x14ac:dyDescent="0.35">
      <c r="B2542"/>
    </row>
    <row r="2543" spans="2:2" x14ac:dyDescent="0.35">
      <c r="B2543"/>
    </row>
    <row r="2544" spans="2:2" x14ac:dyDescent="0.35">
      <c r="B2544"/>
    </row>
    <row r="2545" spans="1:2" x14ac:dyDescent="0.35">
      <c r="B2545"/>
    </row>
    <row r="2546" spans="1:2" x14ac:dyDescent="0.35">
      <c r="B2546"/>
    </row>
    <row r="2547" spans="1:2" x14ac:dyDescent="0.35">
      <c r="B2547"/>
    </row>
    <row r="2548" spans="1:2" x14ac:dyDescent="0.35">
      <c r="B2548"/>
    </row>
    <row r="2549" spans="1:2" x14ac:dyDescent="0.35">
      <c r="B2549"/>
    </row>
    <row r="2550" spans="1:2" x14ac:dyDescent="0.35">
      <c r="B2550"/>
    </row>
    <row r="2551" spans="1:2" x14ac:dyDescent="0.35">
      <c r="B2551"/>
    </row>
    <row r="2552" spans="1:2" x14ac:dyDescent="0.35">
      <c r="B2552"/>
    </row>
    <row r="2553" spans="1:2" x14ac:dyDescent="0.35">
      <c r="B2553"/>
    </row>
    <row r="2554" spans="1:2" x14ac:dyDescent="0.35">
      <c r="B2554"/>
    </row>
    <row r="2555" spans="1:2" x14ac:dyDescent="0.35">
      <c r="B2555"/>
    </row>
    <row r="2556" spans="1:2" x14ac:dyDescent="0.35">
      <c r="B2556"/>
    </row>
    <row r="2557" spans="1:2" ht="15.5" x14ac:dyDescent="0.35">
      <c r="A2557" s="49"/>
      <c r="B2557" s="49"/>
    </row>
    <row r="2558" spans="1:2" x14ac:dyDescent="0.35">
      <c r="B2558"/>
    </row>
    <row r="2559" spans="1:2" x14ac:dyDescent="0.35">
      <c r="B2559"/>
    </row>
    <row r="2560" spans="1:2" x14ac:dyDescent="0.35">
      <c r="B2560"/>
    </row>
    <row r="2561" spans="1:2" x14ac:dyDescent="0.35">
      <c r="B2561"/>
    </row>
    <row r="2562" spans="1:2" x14ac:dyDescent="0.35">
      <c r="B2562"/>
    </row>
    <row r="2563" spans="1:2" x14ac:dyDescent="0.35">
      <c r="B2563"/>
    </row>
    <row r="2564" spans="1:2" x14ac:dyDescent="0.35">
      <c r="B2564"/>
    </row>
    <row r="2565" spans="1:2" x14ac:dyDescent="0.35">
      <c r="B2565"/>
    </row>
    <row r="2566" spans="1:2" x14ac:dyDescent="0.35">
      <c r="B2566"/>
    </row>
    <row r="2567" spans="1:2" ht="15.5" x14ac:dyDescent="0.35">
      <c r="A2567" s="49"/>
      <c r="B2567"/>
    </row>
    <row r="2568" spans="1:2" x14ac:dyDescent="0.35">
      <c r="B2568"/>
    </row>
    <row r="2569" spans="1:2" x14ac:dyDescent="0.35">
      <c r="B2569"/>
    </row>
    <row r="2570" spans="1:2" x14ac:dyDescent="0.35">
      <c r="B2570"/>
    </row>
    <row r="2571" spans="1:2" x14ac:dyDescent="0.35">
      <c r="B2571"/>
    </row>
    <row r="2572" spans="1:2" x14ac:dyDescent="0.35">
      <c r="B2572"/>
    </row>
    <row r="2573" spans="1:2" x14ac:dyDescent="0.35">
      <c r="B2573"/>
    </row>
    <row r="2574" spans="1:2" x14ac:dyDescent="0.35">
      <c r="B2574"/>
    </row>
    <row r="2575" spans="1:2" x14ac:dyDescent="0.35">
      <c r="B2575"/>
    </row>
    <row r="2576" spans="1:2" x14ac:dyDescent="0.35">
      <c r="B2576"/>
    </row>
    <row r="2577" spans="2:2" x14ac:dyDescent="0.35">
      <c r="B2577"/>
    </row>
    <row r="2578" spans="2:2" x14ac:dyDescent="0.35">
      <c r="B2578"/>
    </row>
    <row r="2579" spans="2:2" x14ac:dyDescent="0.35">
      <c r="B2579"/>
    </row>
    <row r="2580" spans="2:2" x14ac:dyDescent="0.35">
      <c r="B2580"/>
    </row>
    <row r="2581" spans="2:2" x14ac:dyDescent="0.35">
      <c r="B2581"/>
    </row>
    <row r="2582" spans="2:2" x14ac:dyDescent="0.35">
      <c r="B2582"/>
    </row>
    <row r="2583" spans="2:2" x14ac:dyDescent="0.35">
      <c r="B2583"/>
    </row>
    <row r="2584" spans="2:2" x14ac:dyDescent="0.35">
      <c r="B2584"/>
    </row>
    <row r="2585" spans="2:2" x14ac:dyDescent="0.35">
      <c r="B2585"/>
    </row>
    <row r="2586" spans="2:2" x14ac:dyDescent="0.35">
      <c r="B2586"/>
    </row>
    <row r="2587" spans="2:2" x14ac:dyDescent="0.35">
      <c r="B2587"/>
    </row>
    <row r="2588" spans="2:2" x14ac:dyDescent="0.35">
      <c r="B2588"/>
    </row>
    <row r="2589" spans="2:2" x14ac:dyDescent="0.35">
      <c r="B2589"/>
    </row>
    <row r="2590" spans="2:2" x14ac:dyDescent="0.35">
      <c r="B2590"/>
    </row>
    <row r="2591" spans="2:2" x14ac:dyDescent="0.35">
      <c r="B2591"/>
    </row>
    <row r="2592" spans="2:2" x14ac:dyDescent="0.35">
      <c r="B2592"/>
    </row>
    <row r="2593" spans="1:2" x14ac:dyDescent="0.35">
      <c r="B2593"/>
    </row>
    <row r="2594" spans="1:2" x14ac:dyDescent="0.35">
      <c r="B2594"/>
    </row>
    <row r="2595" spans="1:2" x14ac:dyDescent="0.35">
      <c r="B2595"/>
    </row>
    <row r="2596" spans="1:2" x14ac:dyDescent="0.35">
      <c r="B2596"/>
    </row>
    <row r="2597" spans="1:2" x14ac:dyDescent="0.35">
      <c r="B2597"/>
    </row>
    <row r="2598" spans="1:2" x14ac:dyDescent="0.35">
      <c r="B2598"/>
    </row>
    <row r="2599" spans="1:2" x14ac:dyDescent="0.35">
      <c r="B2599"/>
    </row>
    <row r="2600" spans="1:2" x14ac:dyDescent="0.35">
      <c r="B2600"/>
    </row>
    <row r="2601" spans="1:2" x14ac:dyDescent="0.35">
      <c r="B2601"/>
    </row>
    <row r="2602" spans="1:2" ht="15.5" x14ac:dyDescent="0.35">
      <c r="A2602" s="49"/>
      <c r="B2602" s="49"/>
    </row>
    <row r="2603" spans="1:2" x14ac:dyDescent="0.35">
      <c r="B2603"/>
    </row>
    <row r="2604" spans="1:2" x14ac:dyDescent="0.35">
      <c r="B2604"/>
    </row>
    <row r="2605" spans="1:2" x14ac:dyDescent="0.35">
      <c r="B2605"/>
    </row>
    <row r="2606" spans="1:2" x14ac:dyDescent="0.35">
      <c r="B2606"/>
    </row>
    <row r="2607" spans="1:2" x14ac:dyDescent="0.35">
      <c r="B2607"/>
    </row>
    <row r="2608" spans="1:2" x14ac:dyDescent="0.35">
      <c r="B2608"/>
    </row>
    <row r="2609" spans="1:2" x14ac:dyDescent="0.35">
      <c r="B2609"/>
    </row>
    <row r="2610" spans="1:2" x14ac:dyDescent="0.35">
      <c r="B2610"/>
    </row>
    <row r="2611" spans="1:2" x14ac:dyDescent="0.35">
      <c r="B2611"/>
    </row>
    <row r="2612" spans="1:2" ht="15.5" x14ac:dyDescent="0.35">
      <c r="A2612" s="49"/>
      <c r="B2612"/>
    </row>
    <row r="2613" spans="1:2" x14ac:dyDescent="0.35">
      <c r="B2613"/>
    </row>
    <row r="2614" spans="1:2" x14ac:dyDescent="0.35">
      <c r="B2614"/>
    </row>
    <row r="2615" spans="1:2" x14ac:dyDescent="0.35">
      <c r="B2615"/>
    </row>
    <row r="2616" spans="1:2" x14ac:dyDescent="0.35">
      <c r="B2616"/>
    </row>
    <row r="2617" spans="1:2" x14ac:dyDescent="0.35">
      <c r="B2617"/>
    </row>
    <row r="2618" spans="1:2" x14ac:dyDescent="0.35">
      <c r="B2618"/>
    </row>
    <row r="2619" spans="1:2" x14ac:dyDescent="0.35">
      <c r="B2619"/>
    </row>
    <row r="2620" spans="1:2" x14ac:dyDescent="0.35">
      <c r="B2620"/>
    </row>
    <row r="2621" spans="1:2" x14ac:dyDescent="0.35">
      <c r="B2621"/>
    </row>
    <row r="2622" spans="1:2" x14ac:dyDescent="0.35">
      <c r="B2622"/>
    </row>
    <row r="2623" spans="1:2" x14ac:dyDescent="0.35">
      <c r="B2623"/>
    </row>
    <row r="2624" spans="1:2" x14ac:dyDescent="0.35">
      <c r="B2624"/>
    </row>
    <row r="2625" spans="2:2" x14ac:dyDescent="0.35">
      <c r="B2625"/>
    </row>
    <row r="2626" spans="2:2" x14ac:dyDescent="0.35">
      <c r="B2626"/>
    </row>
    <row r="2627" spans="2:2" x14ac:dyDescent="0.35">
      <c r="B2627"/>
    </row>
    <row r="2628" spans="2:2" x14ac:dyDescent="0.35">
      <c r="B2628"/>
    </row>
    <row r="2629" spans="2:2" x14ac:dyDescent="0.35">
      <c r="B2629"/>
    </row>
    <row r="2630" spans="2:2" x14ac:dyDescent="0.35">
      <c r="B2630"/>
    </row>
    <row r="2631" spans="2:2" x14ac:dyDescent="0.35">
      <c r="B2631"/>
    </row>
    <row r="2632" spans="2:2" x14ac:dyDescent="0.35">
      <c r="B2632"/>
    </row>
    <row r="2633" spans="2:2" x14ac:dyDescent="0.35">
      <c r="B2633"/>
    </row>
    <row r="2634" spans="2:2" x14ac:dyDescent="0.35">
      <c r="B2634"/>
    </row>
    <row r="2635" spans="2:2" x14ac:dyDescent="0.35">
      <c r="B2635"/>
    </row>
    <row r="2636" spans="2:2" x14ac:dyDescent="0.35">
      <c r="B2636"/>
    </row>
    <row r="2637" spans="2:2" x14ac:dyDescent="0.35">
      <c r="B2637"/>
    </row>
    <row r="2638" spans="2:2" x14ac:dyDescent="0.35">
      <c r="B2638"/>
    </row>
    <row r="2639" spans="2:2" x14ac:dyDescent="0.35">
      <c r="B2639"/>
    </row>
    <row r="2640" spans="2:2" x14ac:dyDescent="0.35">
      <c r="B2640"/>
    </row>
    <row r="2641" spans="1:2" x14ac:dyDescent="0.35">
      <c r="B2641"/>
    </row>
    <row r="2642" spans="1:2" x14ac:dyDescent="0.35">
      <c r="B2642"/>
    </row>
    <row r="2643" spans="1:2" x14ac:dyDescent="0.35">
      <c r="B2643"/>
    </row>
    <row r="2644" spans="1:2" x14ac:dyDescent="0.35">
      <c r="B2644"/>
    </row>
    <row r="2645" spans="1:2" x14ac:dyDescent="0.35">
      <c r="B2645"/>
    </row>
    <row r="2646" spans="1:2" x14ac:dyDescent="0.35">
      <c r="B2646"/>
    </row>
    <row r="2647" spans="1:2" ht="15.5" x14ac:dyDescent="0.35">
      <c r="A2647" s="49"/>
      <c r="B2647" s="49"/>
    </row>
    <row r="2648" spans="1:2" x14ac:dyDescent="0.35">
      <c r="B2648"/>
    </row>
    <row r="2649" spans="1:2" x14ac:dyDescent="0.35">
      <c r="B2649"/>
    </row>
    <row r="2650" spans="1:2" x14ac:dyDescent="0.35">
      <c r="B2650"/>
    </row>
    <row r="2651" spans="1:2" x14ac:dyDescent="0.35">
      <c r="B2651"/>
    </row>
    <row r="2652" spans="1:2" x14ac:dyDescent="0.35">
      <c r="B2652"/>
    </row>
    <row r="2653" spans="1:2" x14ac:dyDescent="0.35">
      <c r="B2653"/>
    </row>
    <row r="2654" spans="1:2" x14ac:dyDescent="0.35">
      <c r="B2654"/>
    </row>
    <row r="2655" spans="1:2" x14ac:dyDescent="0.35">
      <c r="B2655"/>
    </row>
    <row r="2656" spans="1:2" x14ac:dyDescent="0.35">
      <c r="B2656"/>
    </row>
    <row r="2657" spans="1:2" ht="15.5" x14ac:dyDescent="0.35">
      <c r="A2657" s="49"/>
      <c r="B2657"/>
    </row>
    <row r="2658" spans="1:2" x14ac:dyDescent="0.35">
      <c r="B2658"/>
    </row>
    <row r="2659" spans="1:2" x14ac:dyDescent="0.35">
      <c r="B2659"/>
    </row>
    <row r="2660" spans="1:2" x14ac:dyDescent="0.35">
      <c r="B2660"/>
    </row>
    <row r="2661" spans="1:2" x14ac:dyDescent="0.35">
      <c r="B2661"/>
    </row>
    <row r="2662" spans="1:2" x14ac:dyDescent="0.35">
      <c r="B2662"/>
    </row>
    <row r="2663" spans="1:2" x14ac:dyDescent="0.35">
      <c r="B2663"/>
    </row>
    <row r="2664" spans="1:2" x14ac:dyDescent="0.35">
      <c r="B2664"/>
    </row>
    <row r="2665" spans="1:2" x14ac:dyDescent="0.35">
      <c r="B2665"/>
    </row>
    <row r="2666" spans="1:2" x14ac:dyDescent="0.35">
      <c r="B2666"/>
    </row>
    <row r="2667" spans="1:2" x14ac:dyDescent="0.35">
      <c r="B2667"/>
    </row>
    <row r="2668" spans="1:2" x14ac:dyDescent="0.35">
      <c r="B2668"/>
    </row>
    <row r="2669" spans="1:2" x14ac:dyDescent="0.35">
      <c r="B2669"/>
    </row>
    <row r="2670" spans="1:2" x14ac:dyDescent="0.35">
      <c r="B2670"/>
    </row>
    <row r="2671" spans="1:2" x14ac:dyDescent="0.35">
      <c r="B2671"/>
    </row>
    <row r="2672" spans="1:2" x14ac:dyDescent="0.35">
      <c r="B2672"/>
    </row>
    <row r="2673" spans="2:2" x14ac:dyDescent="0.35">
      <c r="B2673"/>
    </row>
    <row r="2674" spans="2:2" x14ac:dyDescent="0.35">
      <c r="B2674"/>
    </row>
    <row r="2675" spans="2:2" x14ac:dyDescent="0.35">
      <c r="B2675"/>
    </row>
    <row r="2676" spans="2:2" x14ac:dyDescent="0.35">
      <c r="B2676"/>
    </row>
    <row r="2677" spans="2:2" x14ac:dyDescent="0.35">
      <c r="B2677"/>
    </row>
    <row r="2678" spans="2:2" x14ac:dyDescent="0.35">
      <c r="B2678"/>
    </row>
    <row r="2679" spans="2:2" x14ac:dyDescent="0.35">
      <c r="B2679"/>
    </row>
    <row r="2680" spans="2:2" x14ac:dyDescent="0.35">
      <c r="B2680"/>
    </row>
    <row r="2681" spans="2:2" x14ac:dyDescent="0.35">
      <c r="B2681"/>
    </row>
    <row r="2682" spans="2:2" x14ac:dyDescent="0.35">
      <c r="B2682"/>
    </row>
    <row r="2683" spans="2:2" x14ac:dyDescent="0.35">
      <c r="B2683"/>
    </row>
    <row r="2684" spans="2:2" x14ac:dyDescent="0.35">
      <c r="B2684"/>
    </row>
    <row r="2685" spans="2:2" x14ac:dyDescent="0.35">
      <c r="B2685"/>
    </row>
    <row r="2686" spans="2:2" x14ac:dyDescent="0.35">
      <c r="B2686"/>
    </row>
    <row r="2687" spans="2:2" x14ac:dyDescent="0.35">
      <c r="B2687"/>
    </row>
    <row r="2688" spans="2:2" x14ac:dyDescent="0.35">
      <c r="B2688"/>
    </row>
    <row r="2689" spans="1:2" x14ac:dyDescent="0.35">
      <c r="B2689"/>
    </row>
    <row r="2690" spans="1:2" x14ac:dyDescent="0.35">
      <c r="B2690"/>
    </row>
    <row r="2691" spans="1:2" x14ac:dyDescent="0.35">
      <c r="B2691"/>
    </row>
    <row r="2692" spans="1:2" ht="15.5" x14ac:dyDescent="0.35">
      <c r="A2692" s="49"/>
      <c r="B2692" s="49"/>
    </row>
    <row r="2693" spans="1:2" x14ac:dyDescent="0.35">
      <c r="B2693"/>
    </row>
    <row r="2694" spans="1:2" x14ac:dyDescent="0.35">
      <c r="B2694"/>
    </row>
    <row r="2695" spans="1:2" x14ac:dyDescent="0.35">
      <c r="B2695"/>
    </row>
    <row r="2696" spans="1:2" x14ac:dyDescent="0.35">
      <c r="B2696"/>
    </row>
    <row r="2697" spans="1:2" x14ac:dyDescent="0.35">
      <c r="B2697"/>
    </row>
    <row r="2698" spans="1:2" x14ac:dyDescent="0.35">
      <c r="B2698"/>
    </row>
    <row r="2699" spans="1:2" x14ac:dyDescent="0.35">
      <c r="B2699"/>
    </row>
    <row r="2700" spans="1:2" x14ac:dyDescent="0.35">
      <c r="B2700"/>
    </row>
    <row r="2701" spans="1:2" x14ac:dyDescent="0.35">
      <c r="B2701"/>
    </row>
    <row r="2702" spans="1:2" ht="15.5" x14ac:dyDescent="0.35">
      <c r="A2702" s="49"/>
      <c r="B2702"/>
    </row>
    <row r="2703" spans="1:2" x14ac:dyDescent="0.35">
      <c r="B2703"/>
    </row>
    <row r="2704" spans="1:2" x14ac:dyDescent="0.35">
      <c r="B2704"/>
    </row>
    <row r="2705" spans="2:2" x14ac:dyDescent="0.35">
      <c r="B2705"/>
    </row>
    <row r="2706" spans="2:2" x14ac:dyDescent="0.35">
      <c r="B2706"/>
    </row>
    <row r="2707" spans="2:2" x14ac:dyDescent="0.35">
      <c r="B2707"/>
    </row>
    <row r="2708" spans="2:2" x14ac:dyDescent="0.35">
      <c r="B2708"/>
    </row>
    <row r="2709" spans="2:2" x14ac:dyDescent="0.35">
      <c r="B2709"/>
    </row>
    <row r="2710" spans="2:2" x14ac:dyDescent="0.35">
      <c r="B2710"/>
    </row>
    <row r="2711" spans="2:2" x14ac:dyDescent="0.35">
      <c r="B2711"/>
    </row>
    <row r="2712" spans="2:2" x14ac:dyDescent="0.35">
      <c r="B2712"/>
    </row>
    <row r="2713" spans="2:2" x14ac:dyDescent="0.35">
      <c r="B2713"/>
    </row>
    <row r="2714" spans="2:2" x14ac:dyDescent="0.35">
      <c r="B2714"/>
    </row>
    <row r="2715" spans="2:2" x14ac:dyDescent="0.35">
      <c r="B2715"/>
    </row>
    <row r="2716" spans="2:2" x14ac:dyDescent="0.35">
      <c r="B2716"/>
    </row>
    <row r="2717" spans="2:2" x14ac:dyDescent="0.35">
      <c r="B2717"/>
    </row>
    <row r="2718" spans="2:2" x14ac:dyDescent="0.35">
      <c r="B2718"/>
    </row>
    <row r="2719" spans="2:2" x14ac:dyDescent="0.35">
      <c r="B2719"/>
    </row>
    <row r="2720" spans="2:2" x14ac:dyDescent="0.35">
      <c r="B2720"/>
    </row>
    <row r="2721" spans="2:2" x14ac:dyDescent="0.35">
      <c r="B2721"/>
    </row>
    <row r="2722" spans="2:2" x14ac:dyDescent="0.35">
      <c r="B2722"/>
    </row>
    <row r="2723" spans="2:2" x14ac:dyDescent="0.35">
      <c r="B2723"/>
    </row>
    <row r="2724" spans="2:2" x14ac:dyDescent="0.35">
      <c r="B2724"/>
    </row>
    <row r="2725" spans="2:2" x14ac:dyDescent="0.35">
      <c r="B2725"/>
    </row>
    <row r="2726" spans="2:2" x14ac:dyDescent="0.35">
      <c r="B2726"/>
    </row>
    <row r="2727" spans="2:2" x14ac:dyDescent="0.35">
      <c r="B2727"/>
    </row>
    <row r="2728" spans="2:2" x14ac:dyDescent="0.35">
      <c r="B2728"/>
    </row>
    <row r="2729" spans="2:2" x14ac:dyDescent="0.35">
      <c r="B2729"/>
    </row>
    <row r="2730" spans="2:2" x14ac:dyDescent="0.35">
      <c r="B2730"/>
    </row>
    <row r="2731" spans="2:2" x14ac:dyDescent="0.35">
      <c r="B2731"/>
    </row>
    <row r="2732" spans="2:2" x14ac:dyDescent="0.35">
      <c r="B2732"/>
    </row>
    <row r="2733" spans="2:2" x14ac:dyDescent="0.35">
      <c r="B2733"/>
    </row>
    <row r="2734" spans="2:2" x14ac:dyDescent="0.35">
      <c r="B2734"/>
    </row>
    <row r="2735" spans="2:2" x14ac:dyDescent="0.35">
      <c r="B2735"/>
    </row>
    <row r="2736" spans="2:2" x14ac:dyDescent="0.35">
      <c r="B2736"/>
    </row>
    <row r="2737" spans="1:2" ht="15.5" x14ac:dyDescent="0.35">
      <c r="A2737" s="49"/>
      <c r="B2737" s="49"/>
    </row>
    <row r="2738" spans="1:2" x14ac:dyDescent="0.35">
      <c r="B2738"/>
    </row>
    <row r="2739" spans="1:2" x14ac:dyDescent="0.35">
      <c r="B2739"/>
    </row>
    <row r="2740" spans="1:2" x14ac:dyDescent="0.35">
      <c r="B2740"/>
    </row>
    <row r="2741" spans="1:2" x14ac:dyDescent="0.35">
      <c r="B2741"/>
    </row>
    <row r="2742" spans="1:2" x14ac:dyDescent="0.35">
      <c r="B2742"/>
    </row>
    <row r="2743" spans="1:2" x14ac:dyDescent="0.35">
      <c r="B2743"/>
    </row>
    <row r="2744" spans="1:2" x14ac:dyDescent="0.35">
      <c r="B2744"/>
    </row>
    <row r="2745" spans="1:2" x14ac:dyDescent="0.35">
      <c r="B2745"/>
    </row>
    <row r="2746" spans="1:2" x14ac:dyDescent="0.35">
      <c r="B2746"/>
    </row>
    <row r="2747" spans="1:2" ht="15.5" x14ac:dyDescent="0.35">
      <c r="A2747" s="49"/>
      <c r="B2747"/>
    </row>
    <row r="2748" spans="1:2" x14ac:dyDescent="0.35">
      <c r="B2748"/>
    </row>
    <row r="2749" spans="1:2" x14ac:dyDescent="0.35">
      <c r="B2749"/>
    </row>
    <row r="2750" spans="1:2" x14ac:dyDescent="0.35">
      <c r="B2750"/>
    </row>
    <row r="2751" spans="1:2" x14ac:dyDescent="0.35">
      <c r="B2751"/>
    </row>
    <row r="2752" spans="1:2" x14ac:dyDescent="0.35">
      <c r="B2752"/>
    </row>
    <row r="2753" spans="2:2" x14ac:dyDescent="0.35">
      <c r="B2753"/>
    </row>
    <row r="2754" spans="2:2" x14ac:dyDescent="0.35">
      <c r="B2754"/>
    </row>
    <row r="2755" spans="2:2" x14ac:dyDescent="0.35">
      <c r="B2755"/>
    </row>
    <row r="2756" spans="2:2" x14ac:dyDescent="0.35">
      <c r="B2756"/>
    </row>
    <row r="2757" spans="2:2" x14ac:dyDescent="0.35">
      <c r="B2757"/>
    </row>
    <row r="2758" spans="2:2" x14ac:dyDescent="0.35">
      <c r="B2758"/>
    </row>
    <row r="2759" spans="2:2" x14ac:dyDescent="0.35">
      <c r="B2759"/>
    </row>
    <row r="2760" spans="2:2" x14ac:dyDescent="0.35">
      <c r="B2760"/>
    </row>
    <row r="2761" spans="2:2" x14ac:dyDescent="0.35">
      <c r="B2761"/>
    </row>
    <row r="2762" spans="2:2" x14ac:dyDescent="0.35">
      <c r="B2762"/>
    </row>
    <row r="2763" spans="2:2" x14ac:dyDescent="0.35">
      <c r="B2763"/>
    </row>
    <row r="2764" spans="2:2" x14ac:dyDescent="0.35">
      <c r="B2764"/>
    </row>
    <row r="2765" spans="2:2" x14ac:dyDescent="0.35">
      <c r="B2765"/>
    </row>
    <row r="2766" spans="2:2" x14ac:dyDescent="0.35">
      <c r="B2766"/>
    </row>
    <row r="2767" spans="2:2" x14ac:dyDescent="0.35">
      <c r="B2767"/>
    </row>
    <row r="2768" spans="2:2" x14ac:dyDescent="0.35">
      <c r="B2768"/>
    </row>
    <row r="2769" spans="1:2" x14ac:dyDescent="0.35">
      <c r="B2769"/>
    </row>
    <row r="2770" spans="1:2" x14ac:dyDescent="0.35">
      <c r="B2770"/>
    </row>
    <row r="2771" spans="1:2" x14ac:dyDescent="0.35">
      <c r="B2771"/>
    </row>
    <row r="2772" spans="1:2" x14ac:dyDescent="0.35">
      <c r="B2772"/>
    </row>
    <row r="2773" spans="1:2" x14ac:dyDescent="0.35">
      <c r="B2773"/>
    </row>
    <row r="2774" spans="1:2" x14ac:dyDescent="0.35">
      <c r="B2774"/>
    </row>
    <row r="2775" spans="1:2" x14ac:dyDescent="0.35">
      <c r="B2775"/>
    </row>
    <row r="2776" spans="1:2" x14ac:dyDescent="0.35">
      <c r="B2776"/>
    </row>
    <row r="2777" spans="1:2" x14ac:dyDescent="0.35">
      <c r="B2777"/>
    </row>
    <row r="2778" spans="1:2" x14ac:dyDescent="0.35">
      <c r="B2778"/>
    </row>
    <row r="2779" spans="1:2" x14ac:dyDescent="0.35">
      <c r="B2779"/>
    </row>
    <row r="2780" spans="1:2" x14ac:dyDescent="0.35">
      <c r="B2780"/>
    </row>
    <row r="2781" spans="1:2" x14ac:dyDescent="0.35">
      <c r="B2781"/>
    </row>
    <row r="2782" spans="1:2" ht="15.5" x14ac:dyDescent="0.35">
      <c r="A2782" s="49"/>
      <c r="B2782" s="49"/>
    </row>
    <row r="2783" spans="1:2" x14ac:dyDescent="0.35">
      <c r="B2783"/>
    </row>
    <row r="2784" spans="1:2" x14ac:dyDescent="0.35">
      <c r="B2784"/>
    </row>
    <row r="2785" spans="1:2" x14ac:dyDescent="0.35">
      <c r="B2785"/>
    </row>
    <row r="2786" spans="1:2" x14ac:dyDescent="0.35">
      <c r="B2786"/>
    </row>
    <row r="2787" spans="1:2" x14ac:dyDescent="0.35">
      <c r="B2787"/>
    </row>
    <row r="2788" spans="1:2" x14ac:dyDescent="0.35">
      <c r="B2788"/>
    </row>
    <row r="2789" spans="1:2" x14ac:dyDescent="0.35">
      <c r="B2789"/>
    </row>
    <row r="2790" spans="1:2" x14ac:dyDescent="0.35">
      <c r="B2790"/>
    </row>
    <row r="2791" spans="1:2" x14ac:dyDescent="0.35">
      <c r="B2791"/>
    </row>
    <row r="2792" spans="1:2" ht="15.5" x14ac:dyDescent="0.35">
      <c r="A2792" s="49"/>
      <c r="B2792"/>
    </row>
    <row r="2793" spans="1:2" x14ac:dyDescent="0.35">
      <c r="B2793"/>
    </row>
    <row r="2794" spans="1:2" x14ac:dyDescent="0.35">
      <c r="B2794"/>
    </row>
    <row r="2795" spans="1:2" x14ac:dyDescent="0.35">
      <c r="B2795"/>
    </row>
    <row r="2796" spans="1:2" x14ac:dyDescent="0.35">
      <c r="B2796"/>
    </row>
    <row r="2797" spans="1:2" x14ac:dyDescent="0.35">
      <c r="B2797"/>
    </row>
    <row r="2798" spans="1:2" x14ac:dyDescent="0.35">
      <c r="B2798"/>
    </row>
    <row r="2799" spans="1:2" x14ac:dyDescent="0.35">
      <c r="B2799"/>
    </row>
    <row r="2800" spans="1:2" x14ac:dyDescent="0.35">
      <c r="B2800"/>
    </row>
    <row r="2801" spans="2:2" x14ac:dyDescent="0.35">
      <c r="B2801"/>
    </row>
    <row r="2802" spans="2:2" x14ac:dyDescent="0.35">
      <c r="B2802"/>
    </row>
    <row r="2803" spans="2:2" x14ac:dyDescent="0.35">
      <c r="B2803"/>
    </row>
    <row r="2804" spans="2:2" x14ac:dyDescent="0.35">
      <c r="B2804"/>
    </row>
    <row r="2805" spans="2:2" x14ac:dyDescent="0.35">
      <c r="B2805"/>
    </row>
    <row r="2806" spans="2:2" x14ac:dyDescent="0.35">
      <c r="B2806"/>
    </row>
    <row r="2807" spans="2:2" x14ac:dyDescent="0.35">
      <c r="B2807"/>
    </row>
    <row r="2808" spans="2:2" x14ac:dyDescent="0.35">
      <c r="B2808"/>
    </row>
    <row r="2809" spans="2:2" x14ac:dyDescent="0.35">
      <c r="B2809"/>
    </row>
    <row r="2810" spans="2:2" x14ac:dyDescent="0.35">
      <c r="B2810"/>
    </row>
    <row r="2811" spans="2:2" x14ac:dyDescent="0.35">
      <c r="B2811"/>
    </row>
    <row r="2812" spans="2:2" x14ac:dyDescent="0.35">
      <c r="B2812"/>
    </row>
    <row r="2813" spans="2:2" x14ac:dyDescent="0.35">
      <c r="B2813"/>
    </row>
    <row r="2814" spans="2:2" x14ac:dyDescent="0.35">
      <c r="B2814"/>
    </row>
    <row r="2815" spans="2:2" x14ac:dyDescent="0.35">
      <c r="B2815"/>
    </row>
    <row r="2816" spans="2:2" x14ac:dyDescent="0.35">
      <c r="B2816"/>
    </row>
    <row r="2817" spans="1:2" x14ac:dyDescent="0.35">
      <c r="B2817"/>
    </row>
    <row r="2818" spans="1:2" x14ac:dyDescent="0.35">
      <c r="B2818"/>
    </row>
    <row r="2819" spans="1:2" x14ac:dyDescent="0.35">
      <c r="B2819"/>
    </row>
    <row r="2820" spans="1:2" x14ac:dyDescent="0.35">
      <c r="B2820"/>
    </row>
    <row r="2821" spans="1:2" x14ac:dyDescent="0.35">
      <c r="B2821"/>
    </row>
    <row r="2822" spans="1:2" x14ac:dyDescent="0.35">
      <c r="B2822"/>
    </row>
    <row r="2823" spans="1:2" x14ac:dyDescent="0.35">
      <c r="B2823"/>
    </row>
    <row r="2824" spans="1:2" ht="15.5" x14ac:dyDescent="0.35">
      <c r="A2824" s="49"/>
      <c r="B2824" s="49"/>
    </row>
    <row r="2825" spans="1:2" x14ac:dyDescent="0.35">
      <c r="B2825"/>
    </row>
    <row r="2826" spans="1:2" x14ac:dyDescent="0.35">
      <c r="B2826"/>
    </row>
    <row r="2827" spans="1:2" x14ac:dyDescent="0.35">
      <c r="B2827"/>
    </row>
    <row r="2828" spans="1:2" x14ac:dyDescent="0.35">
      <c r="B2828"/>
    </row>
    <row r="2829" spans="1:2" x14ac:dyDescent="0.35">
      <c r="B2829"/>
    </row>
    <row r="2830" spans="1:2" x14ac:dyDescent="0.35">
      <c r="B2830"/>
    </row>
    <row r="2831" spans="1:2" x14ac:dyDescent="0.35">
      <c r="B2831"/>
    </row>
    <row r="2832" spans="1:2" x14ac:dyDescent="0.35">
      <c r="B2832"/>
    </row>
    <row r="2833" spans="1:2" x14ac:dyDescent="0.35">
      <c r="B2833"/>
    </row>
    <row r="2834" spans="1:2" ht="15.5" x14ac:dyDescent="0.35">
      <c r="A2834" s="49"/>
      <c r="B2834"/>
    </row>
    <row r="2835" spans="1:2" x14ac:dyDescent="0.35">
      <c r="B2835"/>
    </row>
    <row r="2836" spans="1:2" x14ac:dyDescent="0.35">
      <c r="B2836"/>
    </row>
    <row r="2837" spans="1:2" x14ac:dyDescent="0.35">
      <c r="B2837"/>
    </row>
    <row r="2838" spans="1:2" x14ac:dyDescent="0.35">
      <c r="B2838"/>
    </row>
    <row r="2839" spans="1:2" x14ac:dyDescent="0.35">
      <c r="B2839"/>
    </row>
    <row r="2840" spans="1:2" x14ac:dyDescent="0.35">
      <c r="B2840"/>
    </row>
    <row r="2841" spans="1:2" x14ac:dyDescent="0.35">
      <c r="B2841"/>
    </row>
    <row r="2842" spans="1:2" x14ac:dyDescent="0.35">
      <c r="B2842"/>
    </row>
    <row r="2843" spans="1:2" x14ac:dyDescent="0.35">
      <c r="B2843"/>
    </row>
    <row r="2844" spans="1:2" x14ac:dyDescent="0.35">
      <c r="B2844"/>
    </row>
    <row r="2845" spans="1:2" x14ac:dyDescent="0.35">
      <c r="B2845"/>
    </row>
    <row r="2846" spans="1:2" x14ac:dyDescent="0.35">
      <c r="B2846"/>
    </row>
    <row r="2847" spans="1:2" x14ac:dyDescent="0.35">
      <c r="B2847"/>
    </row>
    <row r="2848" spans="1:2" x14ac:dyDescent="0.35">
      <c r="B2848"/>
    </row>
    <row r="2849" spans="2:2" x14ac:dyDescent="0.35">
      <c r="B2849"/>
    </row>
    <row r="2850" spans="2:2" x14ac:dyDescent="0.35">
      <c r="B2850"/>
    </row>
    <row r="2851" spans="2:2" x14ac:dyDescent="0.35">
      <c r="B2851"/>
    </row>
    <row r="2852" spans="2:2" x14ac:dyDescent="0.35">
      <c r="B2852"/>
    </row>
    <row r="2853" spans="2:2" x14ac:dyDescent="0.35">
      <c r="B2853"/>
    </row>
    <row r="2854" spans="2:2" x14ac:dyDescent="0.35">
      <c r="B2854"/>
    </row>
    <row r="2855" spans="2:2" x14ac:dyDescent="0.35">
      <c r="B2855"/>
    </row>
    <row r="2856" spans="2:2" x14ac:dyDescent="0.35">
      <c r="B2856"/>
    </row>
    <row r="2857" spans="2:2" x14ac:dyDescent="0.35">
      <c r="B2857"/>
    </row>
    <row r="2858" spans="2:2" x14ac:dyDescent="0.35">
      <c r="B2858"/>
    </row>
    <row r="2859" spans="2:2" x14ac:dyDescent="0.35">
      <c r="B2859"/>
    </row>
    <row r="2860" spans="2:2" x14ac:dyDescent="0.35">
      <c r="B2860"/>
    </row>
    <row r="2861" spans="2:2" x14ac:dyDescent="0.35">
      <c r="B2861"/>
    </row>
    <row r="2862" spans="2:2" x14ac:dyDescent="0.35">
      <c r="B2862"/>
    </row>
    <row r="2863" spans="2:2" x14ac:dyDescent="0.35">
      <c r="B2863"/>
    </row>
    <row r="2864" spans="2:2" x14ac:dyDescent="0.35">
      <c r="B2864"/>
    </row>
    <row r="2865" spans="1:2" x14ac:dyDescent="0.35">
      <c r="B2865"/>
    </row>
    <row r="2866" spans="1:2" x14ac:dyDescent="0.35">
      <c r="B2866"/>
    </row>
    <row r="2867" spans="1:2" x14ac:dyDescent="0.35">
      <c r="B2867"/>
    </row>
    <row r="2868" spans="1:2" x14ac:dyDescent="0.35">
      <c r="B2868"/>
    </row>
    <row r="2869" spans="1:2" ht="15.5" x14ac:dyDescent="0.35">
      <c r="A2869" s="49"/>
      <c r="B2869" s="49"/>
    </row>
    <row r="2870" spans="1:2" x14ac:dyDescent="0.35">
      <c r="B2870"/>
    </row>
    <row r="2871" spans="1:2" x14ac:dyDescent="0.35">
      <c r="B2871"/>
    </row>
    <row r="2872" spans="1:2" x14ac:dyDescent="0.35">
      <c r="B2872"/>
    </row>
    <row r="2873" spans="1:2" x14ac:dyDescent="0.35">
      <c r="B2873"/>
    </row>
    <row r="2874" spans="1:2" x14ac:dyDescent="0.35">
      <c r="B2874"/>
    </row>
    <row r="2875" spans="1:2" x14ac:dyDescent="0.35">
      <c r="B2875"/>
    </row>
    <row r="2876" spans="1:2" x14ac:dyDescent="0.35">
      <c r="B2876"/>
    </row>
    <row r="2877" spans="1:2" x14ac:dyDescent="0.35">
      <c r="B2877"/>
    </row>
    <row r="2878" spans="1:2" x14ac:dyDescent="0.35">
      <c r="B2878"/>
    </row>
    <row r="2879" spans="1:2" ht="15.5" x14ac:dyDescent="0.35">
      <c r="A2879" s="49"/>
      <c r="B2879"/>
    </row>
    <row r="2880" spans="1:2" x14ac:dyDescent="0.35">
      <c r="B2880"/>
    </row>
    <row r="2881" spans="2:2" x14ac:dyDescent="0.35">
      <c r="B2881"/>
    </row>
    <row r="2882" spans="2:2" x14ac:dyDescent="0.35">
      <c r="B2882"/>
    </row>
    <row r="2883" spans="2:2" x14ac:dyDescent="0.35">
      <c r="B2883"/>
    </row>
    <row r="2884" spans="2:2" x14ac:dyDescent="0.35">
      <c r="B2884"/>
    </row>
    <row r="2885" spans="2:2" x14ac:dyDescent="0.35">
      <c r="B2885"/>
    </row>
    <row r="2886" spans="2:2" x14ac:dyDescent="0.35">
      <c r="B2886"/>
    </row>
    <row r="2887" spans="2:2" x14ac:dyDescent="0.35">
      <c r="B2887"/>
    </row>
    <row r="2888" spans="2:2" x14ac:dyDescent="0.35">
      <c r="B2888"/>
    </row>
    <row r="2889" spans="2:2" x14ac:dyDescent="0.35">
      <c r="B2889"/>
    </row>
    <row r="2890" spans="2:2" x14ac:dyDescent="0.35">
      <c r="B2890"/>
    </row>
    <row r="2891" spans="2:2" x14ac:dyDescent="0.35">
      <c r="B2891"/>
    </row>
    <row r="2892" spans="2:2" x14ac:dyDescent="0.35">
      <c r="B2892"/>
    </row>
    <row r="2893" spans="2:2" x14ac:dyDescent="0.35">
      <c r="B2893"/>
    </row>
    <row r="2894" spans="2:2" x14ac:dyDescent="0.35">
      <c r="B2894"/>
    </row>
    <row r="2895" spans="2:2" x14ac:dyDescent="0.35">
      <c r="B2895"/>
    </row>
    <row r="2896" spans="2:2" x14ac:dyDescent="0.35">
      <c r="B2896"/>
    </row>
    <row r="2897" spans="2:2" x14ac:dyDescent="0.35">
      <c r="B2897"/>
    </row>
    <row r="2898" spans="2:2" x14ac:dyDescent="0.35">
      <c r="B2898"/>
    </row>
    <row r="2899" spans="2:2" x14ac:dyDescent="0.35">
      <c r="B2899"/>
    </row>
    <row r="2900" spans="2:2" x14ac:dyDescent="0.35">
      <c r="B2900"/>
    </row>
    <row r="2901" spans="2:2" x14ac:dyDescent="0.35">
      <c r="B2901"/>
    </row>
    <row r="2902" spans="2:2" x14ac:dyDescent="0.35">
      <c r="B2902"/>
    </row>
    <row r="2903" spans="2:2" x14ac:dyDescent="0.35">
      <c r="B2903"/>
    </row>
    <row r="2904" spans="2:2" x14ac:dyDescent="0.35">
      <c r="B2904"/>
    </row>
    <row r="2905" spans="2:2" x14ac:dyDescent="0.35">
      <c r="B2905"/>
    </row>
    <row r="2906" spans="2:2" x14ac:dyDescent="0.35">
      <c r="B2906"/>
    </row>
    <row r="2907" spans="2:2" x14ac:dyDescent="0.35">
      <c r="B2907"/>
    </row>
    <row r="2908" spans="2:2" x14ac:dyDescent="0.35">
      <c r="B2908"/>
    </row>
    <row r="2909" spans="2:2" x14ac:dyDescent="0.35">
      <c r="B2909"/>
    </row>
    <row r="2910" spans="2:2" x14ac:dyDescent="0.35">
      <c r="B2910"/>
    </row>
    <row r="2911" spans="2:2" x14ac:dyDescent="0.35">
      <c r="B2911"/>
    </row>
    <row r="2912" spans="2:2" x14ac:dyDescent="0.35">
      <c r="B2912"/>
    </row>
    <row r="2913" spans="1:2" x14ac:dyDescent="0.35">
      <c r="B2913"/>
    </row>
    <row r="2914" spans="1:2" ht="15.5" x14ac:dyDescent="0.35">
      <c r="A2914" s="49"/>
      <c r="B2914" s="49"/>
    </row>
    <row r="2915" spans="1:2" x14ac:dyDescent="0.35">
      <c r="B2915"/>
    </row>
    <row r="2916" spans="1:2" x14ac:dyDescent="0.35">
      <c r="B2916"/>
    </row>
    <row r="2917" spans="1:2" x14ac:dyDescent="0.35">
      <c r="B2917"/>
    </row>
    <row r="2918" spans="1:2" x14ac:dyDescent="0.35">
      <c r="B2918"/>
    </row>
    <row r="2919" spans="1:2" x14ac:dyDescent="0.35">
      <c r="B2919"/>
    </row>
    <row r="2920" spans="1:2" x14ac:dyDescent="0.35">
      <c r="B2920"/>
    </row>
    <row r="2921" spans="1:2" x14ac:dyDescent="0.35">
      <c r="B2921"/>
    </row>
    <row r="2922" spans="1:2" x14ac:dyDescent="0.35">
      <c r="B2922"/>
    </row>
    <row r="2923" spans="1:2" x14ac:dyDescent="0.35">
      <c r="B2923"/>
    </row>
    <row r="2924" spans="1:2" ht="15.5" x14ac:dyDescent="0.35">
      <c r="A2924" s="49"/>
      <c r="B2924"/>
    </row>
    <row r="2925" spans="1:2" x14ac:dyDescent="0.35">
      <c r="B2925"/>
    </row>
    <row r="2926" spans="1:2" x14ac:dyDescent="0.35">
      <c r="B2926"/>
    </row>
    <row r="2927" spans="1:2" x14ac:dyDescent="0.35">
      <c r="B2927"/>
    </row>
    <row r="2928" spans="1:2" x14ac:dyDescent="0.35">
      <c r="B2928"/>
    </row>
    <row r="2929" spans="2:2" x14ac:dyDescent="0.35">
      <c r="B2929"/>
    </row>
    <row r="2930" spans="2:2" x14ac:dyDescent="0.35">
      <c r="B2930"/>
    </row>
    <row r="2931" spans="2:2" x14ac:dyDescent="0.35">
      <c r="B2931"/>
    </row>
    <row r="2932" spans="2:2" x14ac:dyDescent="0.35">
      <c r="B2932"/>
    </row>
    <row r="2933" spans="2:2" x14ac:dyDescent="0.35">
      <c r="B2933"/>
    </row>
    <row r="2934" spans="2:2" x14ac:dyDescent="0.35">
      <c r="B2934"/>
    </row>
    <row r="2935" spans="2:2" x14ac:dyDescent="0.35">
      <c r="B2935"/>
    </row>
    <row r="2936" spans="2:2" x14ac:dyDescent="0.35">
      <c r="B2936"/>
    </row>
    <row r="2937" spans="2:2" x14ac:dyDescent="0.35">
      <c r="B2937"/>
    </row>
    <row r="2938" spans="2:2" x14ac:dyDescent="0.35">
      <c r="B2938"/>
    </row>
    <row r="2939" spans="2:2" x14ac:dyDescent="0.35">
      <c r="B2939"/>
    </row>
    <row r="2940" spans="2:2" x14ac:dyDescent="0.35">
      <c r="B2940"/>
    </row>
    <row r="2941" spans="2:2" x14ac:dyDescent="0.35">
      <c r="B2941"/>
    </row>
    <row r="2942" spans="2:2" x14ac:dyDescent="0.35">
      <c r="B2942"/>
    </row>
    <row r="2943" spans="2:2" x14ac:dyDescent="0.35">
      <c r="B2943"/>
    </row>
    <row r="2944" spans="2:2" x14ac:dyDescent="0.35">
      <c r="B2944"/>
    </row>
    <row r="2945" spans="1:2" x14ac:dyDescent="0.35">
      <c r="B2945"/>
    </row>
    <row r="2946" spans="1:2" x14ac:dyDescent="0.35">
      <c r="B2946"/>
    </row>
    <row r="2947" spans="1:2" x14ac:dyDescent="0.35">
      <c r="B2947"/>
    </row>
    <row r="2948" spans="1:2" x14ac:dyDescent="0.35">
      <c r="B2948"/>
    </row>
    <row r="2949" spans="1:2" x14ac:dyDescent="0.35">
      <c r="B2949"/>
    </row>
    <row r="2950" spans="1:2" x14ac:dyDescent="0.35">
      <c r="B2950"/>
    </row>
    <row r="2951" spans="1:2" x14ac:dyDescent="0.35">
      <c r="B2951"/>
    </row>
    <row r="2952" spans="1:2" x14ac:dyDescent="0.35">
      <c r="B2952"/>
    </row>
    <row r="2953" spans="1:2" ht="15.5" x14ac:dyDescent="0.35">
      <c r="A2953" s="49"/>
      <c r="B2953" s="49"/>
    </row>
    <row r="2954" spans="1:2" x14ac:dyDescent="0.35">
      <c r="B2954"/>
    </row>
    <row r="2955" spans="1:2" x14ac:dyDescent="0.35">
      <c r="B2955"/>
    </row>
    <row r="2956" spans="1:2" x14ac:dyDescent="0.35">
      <c r="B2956"/>
    </row>
    <row r="2957" spans="1:2" x14ac:dyDescent="0.35">
      <c r="B2957"/>
    </row>
    <row r="2958" spans="1:2" x14ac:dyDescent="0.35">
      <c r="B2958"/>
    </row>
    <row r="2959" spans="1:2" x14ac:dyDescent="0.35">
      <c r="B2959"/>
    </row>
    <row r="2960" spans="1:2" x14ac:dyDescent="0.35">
      <c r="B2960"/>
    </row>
    <row r="2961" spans="1:2" x14ac:dyDescent="0.35">
      <c r="B2961"/>
    </row>
    <row r="2962" spans="1:2" x14ac:dyDescent="0.35">
      <c r="B2962"/>
    </row>
    <row r="2963" spans="1:2" ht="15.5" x14ac:dyDescent="0.35">
      <c r="A2963" s="49"/>
      <c r="B2963"/>
    </row>
    <row r="2964" spans="1:2" x14ac:dyDescent="0.35">
      <c r="B2964"/>
    </row>
    <row r="2965" spans="1:2" x14ac:dyDescent="0.35">
      <c r="B2965"/>
    </row>
    <row r="2966" spans="1:2" x14ac:dyDescent="0.35">
      <c r="B2966"/>
    </row>
    <row r="2967" spans="1:2" x14ac:dyDescent="0.35">
      <c r="B2967"/>
    </row>
    <row r="2968" spans="1:2" x14ac:dyDescent="0.35">
      <c r="B2968"/>
    </row>
    <row r="2969" spans="1:2" x14ac:dyDescent="0.35">
      <c r="B2969"/>
    </row>
    <row r="2970" spans="1:2" x14ac:dyDescent="0.35">
      <c r="B2970"/>
    </row>
    <row r="2971" spans="1:2" x14ac:dyDescent="0.35">
      <c r="B2971"/>
    </row>
    <row r="2972" spans="1:2" x14ac:dyDescent="0.35">
      <c r="B2972"/>
    </row>
    <row r="2973" spans="1:2" x14ac:dyDescent="0.35">
      <c r="B2973"/>
    </row>
    <row r="2974" spans="1:2" x14ac:dyDescent="0.35">
      <c r="B2974"/>
    </row>
    <row r="2975" spans="1:2" x14ac:dyDescent="0.35">
      <c r="B2975"/>
    </row>
    <row r="2976" spans="1:2" x14ac:dyDescent="0.35">
      <c r="B2976"/>
    </row>
    <row r="2977" spans="1:2" x14ac:dyDescent="0.35">
      <c r="B2977"/>
    </row>
    <row r="2978" spans="1:2" x14ac:dyDescent="0.35">
      <c r="B2978"/>
    </row>
    <row r="2979" spans="1:2" x14ac:dyDescent="0.35">
      <c r="B2979"/>
    </row>
    <row r="2980" spans="1:2" x14ac:dyDescent="0.35">
      <c r="B2980"/>
    </row>
    <row r="2981" spans="1:2" x14ac:dyDescent="0.35">
      <c r="B2981"/>
    </row>
    <row r="2982" spans="1:2" x14ac:dyDescent="0.35">
      <c r="B2982"/>
    </row>
    <row r="2983" spans="1:2" x14ac:dyDescent="0.35">
      <c r="B2983"/>
    </row>
    <row r="2984" spans="1:2" x14ac:dyDescent="0.35">
      <c r="B2984"/>
    </row>
    <row r="2985" spans="1:2" x14ac:dyDescent="0.35">
      <c r="B2985"/>
    </row>
    <row r="2986" spans="1:2" x14ac:dyDescent="0.35">
      <c r="B2986"/>
    </row>
    <row r="2987" spans="1:2" x14ac:dyDescent="0.35">
      <c r="B2987"/>
    </row>
    <row r="2988" spans="1:2" x14ac:dyDescent="0.35">
      <c r="B2988"/>
    </row>
    <row r="2989" spans="1:2" x14ac:dyDescent="0.35">
      <c r="B2989"/>
    </row>
    <row r="2990" spans="1:2" x14ac:dyDescent="0.35">
      <c r="B2990"/>
    </row>
    <row r="2991" spans="1:2" ht="15.5" x14ac:dyDescent="0.35">
      <c r="A2991" s="49"/>
      <c r="B2991" s="49"/>
    </row>
    <row r="2992" spans="1:2" x14ac:dyDescent="0.35">
      <c r="B2992"/>
    </row>
    <row r="2993" spans="1:2" x14ac:dyDescent="0.35">
      <c r="B2993"/>
    </row>
    <row r="2994" spans="1:2" x14ac:dyDescent="0.35">
      <c r="B2994"/>
    </row>
    <row r="2995" spans="1:2" x14ac:dyDescent="0.35">
      <c r="B2995"/>
    </row>
    <row r="2996" spans="1:2" x14ac:dyDescent="0.35">
      <c r="B2996"/>
    </row>
    <row r="2997" spans="1:2" x14ac:dyDescent="0.35">
      <c r="B2997"/>
    </row>
    <row r="2998" spans="1:2" x14ac:dyDescent="0.35">
      <c r="B2998"/>
    </row>
    <row r="2999" spans="1:2" x14ac:dyDescent="0.35">
      <c r="B2999"/>
    </row>
    <row r="3000" spans="1:2" x14ac:dyDescent="0.35">
      <c r="B3000"/>
    </row>
    <row r="3001" spans="1:2" ht="15.5" x14ac:dyDescent="0.35">
      <c r="A3001" s="49"/>
      <c r="B3001"/>
    </row>
    <row r="3002" spans="1:2" x14ac:dyDescent="0.35">
      <c r="B3002"/>
    </row>
    <row r="3003" spans="1:2" x14ac:dyDescent="0.35">
      <c r="B3003"/>
    </row>
    <row r="3004" spans="1:2" x14ac:dyDescent="0.35">
      <c r="B3004"/>
    </row>
    <row r="3005" spans="1:2" x14ac:dyDescent="0.35">
      <c r="B3005"/>
    </row>
    <row r="3006" spans="1:2" x14ac:dyDescent="0.35">
      <c r="B3006"/>
    </row>
    <row r="3007" spans="1:2" x14ac:dyDescent="0.35">
      <c r="B3007"/>
    </row>
    <row r="3008" spans="1:2" x14ac:dyDescent="0.35">
      <c r="B3008"/>
    </row>
    <row r="3009" spans="2:2" x14ac:dyDescent="0.35">
      <c r="B3009"/>
    </row>
    <row r="3010" spans="2:2" x14ac:dyDescent="0.35">
      <c r="B3010"/>
    </row>
    <row r="3011" spans="2:2" x14ac:dyDescent="0.35">
      <c r="B3011"/>
    </row>
    <row r="3012" spans="2:2" x14ac:dyDescent="0.35">
      <c r="B3012"/>
    </row>
    <row r="3013" spans="2:2" x14ac:dyDescent="0.35">
      <c r="B3013"/>
    </row>
    <row r="3014" spans="2:2" x14ac:dyDescent="0.35">
      <c r="B3014"/>
    </row>
    <row r="3015" spans="2:2" x14ac:dyDescent="0.35">
      <c r="B3015"/>
    </row>
    <row r="3016" spans="2:2" x14ac:dyDescent="0.35">
      <c r="B3016"/>
    </row>
    <row r="3017" spans="2:2" x14ac:dyDescent="0.35">
      <c r="B3017"/>
    </row>
    <row r="3018" spans="2:2" x14ac:dyDescent="0.35">
      <c r="B3018"/>
    </row>
    <row r="3019" spans="2:2" x14ac:dyDescent="0.35">
      <c r="B3019"/>
    </row>
    <row r="3020" spans="2:2" x14ac:dyDescent="0.35">
      <c r="B3020"/>
    </row>
    <row r="3021" spans="2:2" x14ac:dyDescent="0.35">
      <c r="B3021"/>
    </row>
    <row r="3022" spans="2:2" x14ac:dyDescent="0.35">
      <c r="B3022"/>
    </row>
    <row r="3023" spans="2:2" x14ac:dyDescent="0.35">
      <c r="B3023"/>
    </row>
    <row r="3024" spans="2:2" x14ac:dyDescent="0.35">
      <c r="B3024"/>
    </row>
    <row r="3025" spans="1:2" x14ac:dyDescent="0.35">
      <c r="B3025"/>
    </row>
    <row r="3026" spans="1:2" x14ac:dyDescent="0.35">
      <c r="B3026"/>
    </row>
    <row r="3027" spans="1:2" x14ac:dyDescent="0.35">
      <c r="B3027"/>
    </row>
    <row r="3028" spans="1:2" x14ac:dyDescent="0.35">
      <c r="B3028"/>
    </row>
    <row r="3029" spans="1:2" x14ac:dyDescent="0.35">
      <c r="B3029"/>
    </row>
    <row r="3030" spans="1:2" x14ac:dyDescent="0.35">
      <c r="B3030"/>
    </row>
    <row r="3031" spans="1:2" x14ac:dyDescent="0.35">
      <c r="B3031"/>
    </row>
    <row r="3032" spans="1:2" x14ac:dyDescent="0.35">
      <c r="B3032"/>
    </row>
    <row r="3033" spans="1:2" x14ac:dyDescent="0.35">
      <c r="B3033"/>
    </row>
    <row r="3034" spans="1:2" x14ac:dyDescent="0.35">
      <c r="B3034"/>
    </row>
    <row r="3035" spans="1:2" x14ac:dyDescent="0.35">
      <c r="B3035"/>
    </row>
    <row r="3036" spans="1:2" ht="15.5" x14ac:dyDescent="0.35">
      <c r="A3036" s="49"/>
      <c r="B3036" s="49"/>
    </row>
    <row r="3037" spans="1:2" x14ac:dyDescent="0.35">
      <c r="B3037"/>
    </row>
    <row r="3038" spans="1:2" x14ac:dyDescent="0.35">
      <c r="B3038"/>
    </row>
    <row r="3039" spans="1:2" x14ac:dyDescent="0.35">
      <c r="B3039"/>
    </row>
    <row r="3040" spans="1:2" x14ac:dyDescent="0.35">
      <c r="B3040"/>
    </row>
    <row r="3041" spans="1:2" x14ac:dyDescent="0.35">
      <c r="B3041"/>
    </row>
    <row r="3042" spans="1:2" x14ac:dyDescent="0.35">
      <c r="B3042"/>
    </row>
    <row r="3043" spans="1:2" x14ac:dyDescent="0.35">
      <c r="B3043"/>
    </row>
    <row r="3044" spans="1:2" x14ac:dyDescent="0.35">
      <c r="B3044"/>
    </row>
    <row r="3045" spans="1:2" x14ac:dyDescent="0.35">
      <c r="B3045"/>
    </row>
    <row r="3046" spans="1:2" ht="15.5" x14ac:dyDescent="0.35">
      <c r="A3046" s="49"/>
      <c r="B3046"/>
    </row>
    <row r="3047" spans="1:2" x14ac:dyDescent="0.35">
      <c r="B3047"/>
    </row>
    <row r="3048" spans="1:2" x14ac:dyDescent="0.35">
      <c r="B3048"/>
    </row>
    <row r="3049" spans="1:2" x14ac:dyDescent="0.35">
      <c r="B3049"/>
    </row>
    <row r="3050" spans="1:2" x14ac:dyDescent="0.35">
      <c r="B3050"/>
    </row>
    <row r="3051" spans="1:2" x14ac:dyDescent="0.35">
      <c r="B3051"/>
    </row>
    <row r="3052" spans="1:2" x14ac:dyDescent="0.35">
      <c r="B3052"/>
    </row>
    <row r="3053" spans="1:2" x14ac:dyDescent="0.35">
      <c r="B3053"/>
    </row>
    <row r="3054" spans="1:2" x14ac:dyDescent="0.35">
      <c r="B3054"/>
    </row>
    <row r="3055" spans="1:2" x14ac:dyDescent="0.35">
      <c r="B3055"/>
    </row>
    <row r="3056" spans="1:2" x14ac:dyDescent="0.35">
      <c r="B3056"/>
    </row>
    <row r="3057" spans="2:2" x14ac:dyDescent="0.35">
      <c r="B3057"/>
    </row>
    <row r="3058" spans="2:2" x14ac:dyDescent="0.35">
      <c r="B3058"/>
    </row>
    <row r="3059" spans="2:2" x14ac:dyDescent="0.35">
      <c r="B3059"/>
    </row>
    <row r="3060" spans="2:2" x14ac:dyDescent="0.35">
      <c r="B3060"/>
    </row>
    <row r="3061" spans="2:2" x14ac:dyDescent="0.35">
      <c r="B3061"/>
    </row>
    <row r="3062" spans="2:2" x14ac:dyDescent="0.35">
      <c r="B3062"/>
    </row>
    <row r="3063" spans="2:2" x14ac:dyDescent="0.35">
      <c r="B3063"/>
    </row>
    <row r="3064" spans="2:2" x14ac:dyDescent="0.35">
      <c r="B3064"/>
    </row>
    <row r="3065" spans="2:2" x14ac:dyDescent="0.35">
      <c r="B3065"/>
    </row>
    <row r="3066" spans="2:2" x14ac:dyDescent="0.35">
      <c r="B3066"/>
    </row>
    <row r="3067" spans="2:2" x14ac:dyDescent="0.35">
      <c r="B3067"/>
    </row>
    <row r="3068" spans="2:2" x14ac:dyDescent="0.35">
      <c r="B3068"/>
    </row>
    <row r="3069" spans="2:2" x14ac:dyDescent="0.35">
      <c r="B3069"/>
    </row>
    <row r="3070" spans="2:2" x14ac:dyDescent="0.35">
      <c r="B3070"/>
    </row>
    <row r="3071" spans="2:2" x14ac:dyDescent="0.35">
      <c r="B3071"/>
    </row>
    <row r="3072" spans="2:2" x14ac:dyDescent="0.35">
      <c r="B3072"/>
    </row>
    <row r="3073" spans="1:2" x14ac:dyDescent="0.35">
      <c r="B3073"/>
    </row>
    <row r="3074" spans="1:2" x14ac:dyDescent="0.35">
      <c r="B3074"/>
    </row>
    <row r="3075" spans="1:2" x14ac:dyDescent="0.35">
      <c r="B3075"/>
    </row>
    <row r="3076" spans="1:2" x14ac:dyDescent="0.35">
      <c r="B3076"/>
    </row>
    <row r="3077" spans="1:2" x14ac:dyDescent="0.35">
      <c r="B3077"/>
    </row>
    <row r="3078" spans="1:2" x14ac:dyDescent="0.35">
      <c r="B3078"/>
    </row>
    <row r="3079" spans="1:2" x14ac:dyDescent="0.35">
      <c r="B3079"/>
    </row>
    <row r="3080" spans="1:2" x14ac:dyDescent="0.35">
      <c r="B3080"/>
    </row>
    <row r="3081" spans="1:2" ht="15.5" x14ac:dyDescent="0.35">
      <c r="A3081" s="49"/>
      <c r="B3081" s="49"/>
    </row>
    <row r="3082" spans="1:2" x14ac:dyDescent="0.35">
      <c r="B3082"/>
    </row>
    <row r="3083" spans="1:2" x14ac:dyDescent="0.35">
      <c r="B3083"/>
    </row>
    <row r="3084" spans="1:2" x14ac:dyDescent="0.35">
      <c r="B3084"/>
    </row>
    <row r="3085" spans="1:2" x14ac:dyDescent="0.35">
      <c r="B3085"/>
    </row>
    <row r="3086" spans="1:2" x14ac:dyDescent="0.35">
      <c r="B3086"/>
    </row>
    <row r="3087" spans="1:2" x14ac:dyDescent="0.35">
      <c r="B3087"/>
    </row>
    <row r="3088" spans="1:2" x14ac:dyDescent="0.35">
      <c r="B3088"/>
    </row>
    <row r="3089" spans="1:2" x14ac:dyDescent="0.35">
      <c r="B3089"/>
    </row>
    <row r="3090" spans="1:2" x14ac:dyDescent="0.35">
      <c r="B3090"/>
    </row>
    <row r="3091" spans="1:2" ht="15.5" x14ac:dyDescent="0.35">
      <c r="A3091" s="49"/>
      <c r="B3091"/>
    </row>
    <row r="3092" spans="1:2" x14ac:dyDescent="0.35">
      <c r="B3092"/>
    </row>
    <row r="3093" spans="1:2" x14ac:dyDescent="0.35">
      <c r="B3093"/>
    </row>
    <row r="3094" spans="1:2" x14ac:dyDescent="0.35">
      <c r="B3094"/>
    </row>
    <row r="3095" spans="1:2" x14ac:dyDescent="0.35">
      <c r="B3095"/>
    </row>
    <row r="3096" spans="1:2" x14ac:dyDescent="0.35">
      <c r="B3096"/>
    </row>
    <row r="3097" spans="1:2" x14ac:dyDescent="0.35">
      <c r="B3097"/>
    </row>
    <row r="3098" spans="1:2" x14ac:dyDescent="0.35">
      <c r="B3098"/>
    </row>
    <row r="3099" spans="1:2" x14ac:dyDescent="0.35">
      <c r="B3099"/>
    </row>
    <row r="3100" spans="1:2" x14ac:dyDescent="0.35">
      <c r="B3100"/>
    </row>
    <row r="3101" spans="1:2" x14ac:dyDescent="0.35">
      <c r="B3101"/>
    </row>
    <row r="3102" spans="1:2" x14ac:dyDescent="0.35">
      <c r="B3102"/>
    </row>
    <row r="3103" spans="1:2" x14ac:dyDescent="0.35">
      <c r="B3103"/>
    </row>
    <row r="3104" spans="1:2" x14ac:dyDescent="0.35">
      <c r="B3104"/>
    </row>
    <row r="3105" spans="2:2" x14ac:dyDescent="0.35">
      <c r="B3105"/>
    </row>
    <row r="3106" spans="2:2" x14ac:dyDescent="0.35">
      <c r="B3106"/>
    </row>
    <row r="3107" spans="2:2" x14ac:dyDescent="0.35">
      <c r="B3107"/>
    </row>
    <row r="3108" spans="2:2" x14ac:dyDescent="0.35">
      <c r="B3108"/>
    </row>
    <row r="3109" spans="2:2" x14ac:dyDescent="0.35">
      <c r="B3109"/>
    </row>
    <row r="3110" spans="2:2" x14ac:dyDescent="0.35">
      <c r="B3110"/>
    </row>
    <row r="3111" spans="2:2" x14ac:dyDescent="0.35">
      <c r="B3111"/>
    </row>
    <row r="3112" spans="2:2" x14ac:dyDescent="0.35">
      <c r="B3112"/>
    </row>
    <row r="3113" spans="2:2" x14ac:dyDescent="0.35">
      <c r="B3113"/>
    </row>
    <row r="3114" spans="2:2" x14ac:dyDescent="0.35">
      <c r="B3114"/>
    </row>
    <row r="3115" spans="2:2" x14ac:dyDescent="0.35">
      <c r="B3115"/>
    </row>
    <row r="3116" spans="2:2" x14ac:dyDescent="0.35">
      <c r="B3116"/>
    </row>
    <row r="3117" spans="2:2" x14ac:dyDescent="0.35">
      <c r="B3117"/>
    </row>
    <row r="3118" spans="2:2" x14ac:dyDescent="0.35">
      <c r="B3118"/>
    </row>
    <row r="3119" spans="2:2" x14ac:dyDescent="0.35">
      <c r="B3119"/>
    </row>
    <row r="3120" spans="2:2" x14ac:dyDescent="0.35">
      <c r="B3120"/>
    </row>
    <row r="3121" spans="1:2" x14ac:dyDescent="0.35">
      <c r="B3121"/>
    </row>
    <row r="3122" spans="1:2" x14ac:dyDescent="0.35">
      <c r="B3122"/>
    </row>
    <row r="3123" spans="1:2" x14ac:dyDescent="0.35">
      <c r="B3123"/>
    </row>
    <row r="3124" spans="1:2" x14ac:dyDescent="0.35">
      <c r="B3124"/>
    </row>
    <row r="3125" spans="1:2" x14ac:dyDescent="0.35">
      <c r="B3125"/>
    </row>
    <row r="3126" spans="1:2" ht="15.5" x14ac:dyDescent="0.35">
      <c r="A3126" s="49"/>
      <c r="B3126" s="49"/>
    </row>
    <row r="3127" spans="1:2" x14ac:dyDescent="0.35">
      <c r="B3127"/>
    </row>
    <row r="3128" spans="1:2" x14ac:dyDescent="0.35">
      <c r="B3128"/>
    </row>
    <row r="3129" spans="1:2" x14ac:dyDescent="0.35">
      <c r="B3129"/>
    </row>
    <row r="3130" spans="1:2" x14ac:dyDescent="0.35">
      <c r="B3130"/>
    </row>
    <row r="3131" spans="1:2" x14ac:dyDescent="0.35">
      <c r="B3131"/>
    </row>
    <row r="3132" spans="1:2" x14ac:dyDescent="0.35">
      <c r="B3132"/>
    </row>
    <row r="3133" spans="1:2" x14ac:dyDescent="0.35">
      <c r="B3133"/>
    </row>
    <row r="3134" spans="1:2" x14ac:dyDescent="0.35">
      <c r="B3134"/>
    </row>
    <row r="3135" spans="1:2" x14ac:dyDescent="0.35">
      <c r="B3135"/>
    </row>
    <row r="3136" spans="1:2" ht="15.5" x14ac:dyDescent="0.35">
      <c r="A3136" s="49"/>
      <c r="B3136"/>
    </row>
    <row r="3137" spans="2:2" x14ac:dyDescent="0.35">
      <c r="B3137"/>
    </row>
    <row r="3138" spans="2:2" x14ac:dyDescent="0.35">
      <c r="B3138"/>
    </row>
    <row r="3139" spans="2:2" x14ac:dyDescent="0.35">
      <c r="B3139"/>
    </row>
    <row r="3140" spans="2:2" x14ac:dyDescent="0.35">
      <c r="B3140"/>
    </row>
    <row r="3141" spans="2:2" x14ac:dyDescent="0.35">
      <c r="B3141"/>
    </row>
    <row r="3142" spans="2:2" x14ac:dyDescent="0.35">
      <c r="B3142"/>
    </row>
    <row r="3143" spans="2:2" x14ac:dyDescent="0.35">
      <c r="B3143"/>
    </row>
    <row r="3144" spans="2:2" x14ac:dyDescent="0.35">
      <c r="B3144"/>
    </row>
    <row r="3145" spans="2:2" x14ac:dyDescent="0.35">
      <c r="B3145"/>
    </row>
    <row r="3146" spans="2:2" x14ac:dyDescent="0.35">
      <c r="B3146"/>
    </row>
    <row r="3147" spans="2:2" x14ac:dyDescent="0.35">
      <c r="B3147"/>
    </row>
    <row r="3148" spans="2:2" x14ac:dyDescent="0.35">
      <c r="B3148"/>
    </row>
    <row r="3149" spans="2:2" x14ac:dyDescent="0.35">
      <c r="B3149"/>
    </row>
    <row r="3150" spans="2:2" x14ac:dyDescent="0.35">
      <c r="B3150"/>
    </row>
    <row r="3151" spans="2:2" x14ac:dyDescent="0.35">
      <c r="B3151"/>
    </row>
    <row r="3152" spans="2:2" x14ac:dyDescent="0.35">
      <c r="B3152"/>
    </row>
    <row r="3153" spans="2:2" x14ac:dyDescent="0.35">
      <c r="B3153"/>
    </row>
    <row r="3154" spans="2:2" x14ac:dyDescent="0.35">
      <c r="B3154"/>
    </row>
    <row r="3155" spans="2:2" x14ac:dyDescent="0.35">
      <c r="B3155"/>
    </row>
    <row r="3156" spans="2:2" x14ac:dyDescent="0.35">
      <c r="B3156"/>
    </row>
    <row r="3157" spans="2:2" x14ac:dyDescent="0.35">
      <c r="B3157"/>
    </row>
    <row r="3158" spans="2:2" x14ac:dyDescent="0.35">
      <c r="B3158"/>
    </row>
    <row r="3159" spans="2:2" x14ac:dyDescent="0.35">
      <c r="B3159"/>
    </row>
    <row r="3160" spans="2:2" x14ac:dyDescent="0.35">
      <c r="B3160"/>
    </row>
    <row r="3161" spans="2:2" x14ac:dyDescent="0.35">
      <c r="B3161"/>
    </row>
    <row r="3162" spans="2:2" x14ac:dyDescent="0.35">
      <c r="B3162"/>
    </row>
    <row r="3163" spans="2:2" x14ac:dyDescent="0.35">
      <c r="B3163"/>
    </row>
    <row r="3164" spans="2:2" x14ac:dyDescent="0.35">
      <c r="B3164"/>
    </row>
    <row r="3165" spans="2:2" x14ac:dyDescent="0.35">
      <c r="B3165"/>
    </row>
    <row r="3166" spans="2:2" x14ac:dyDescent="0.35">
      <c r="B3166"/>
    </row>
    <row r="3167" spans="2:2" x14ac:dyDescent="0.35">
      <c r="B3167"/>
    </row>
    <row r="3168" spans="2:2" x14ac:dyDescent="0.35">
      <c r="B3168"/>
    </row>
    <row r="3169" spans="1:2" x14ac:dyDescent="0.35">
      <c r="B3169"/>
    </row>
    <row r="3170" spans="1:2" x14ac:dyDescent="0.35">
      <c r="B3170"/>
    </row>
    <row r="3171" spans="1:2" ht="15.5" x14ac:dyDescent="0.35">
      <c r="A3171" s="49"/>
      <c r="B3171" s="49"/>
    </row>
    <row r="3172" spans="1:2" x14ac:dyDescent="0.35">
      <c r="B3172"/>
    </row>
    <row r="3173" spans="1:2" x14ac:dyDescent="0.35">
      <c r="B3173"/>
    </row>
    <row r="3174" spans="1:2" x14ac:dyDescent="0.35">
      <c r="B3174"/>
    </row>
    <row r="3175" spans="1:2" x14ac:dyDescent="0.35">
      <c r="B3175"/>
    </row>
    <row r="3176" spans="1:2" x14ac:dyDescent="0.35">
      <c r="B3176"/>
    </row>
    <row r="3177" spans="1:2" x14ac:dyDescent="0.35">
      <c r="B3177"/>
    </row>
    <row r="3178" spans="1:2" x14ac:dyDescent="0.35">
      <c r="B3178"/>
    </row>
    <row r="3179" spans="1:2" x14ac:dyDescent="0.35">
      <c r="B3179"/>
    </row>
    <row r="3180" spans="1:2" x14ac:dyDescent="0.35">
      <c r="B3180"/>
    </row>
    <row r="3181" spans="1:2" ht="15.5" x14ac:dyDescent="0.35">
      <c r="A3181" s="49"/>
      <c r="B3181"/>
    </row>
    <row r="3182" spans="1:2" x14ac:dyDescent="0.35">
      <c r="B3182"/>
    </row>
    <row r="3183" spans="1:2" x14ac:dyDescent="0.35">
      <c r="B3183"/>
    </row>
    <row r="3184" spans="1:2" x14ac:dyDescent="0.35">
      <c r="B3184"/>
    </row>
    <row r="3185" spans="2:2" x14ac:dyDescent="0.35">
      <c r="B3185"/>
    </row>
    <row r="3186" spans="2:2" x14ac:dyDescent="0.35">
      <c r="B3186"/>
    </row>
    <row r="3187" spans="2:2" x14ac:dyDescent="0.35">
      <c r="B3187"/>
    </row>
    <row r="3188" spans="2:2" x14ac:dyDescent="0.35">
      <c r="B3188"/>
    </row>
    <row r="3189" spans="2:2" x14ac:dyDescent="0.35">
      <c r="B3189"/>
    </row>
    <row r="3190" spans="2:2" x14ac:dyDescent="0.35">
      <c r="B3190"/>
    </row>
    <row r="3191" spans="2:2" x14ac:dyDescent="0.35">
      <c r="B3191"/>
    </row>
    <row r="3192" spans="2:2" x14ac:dyDescent="0.35">
      <c r="B3192"/>
    </row>
    <row r="3193" spans="2:2" x14ac:dyDescent="0.35">
      <c r="B3193"/>
    </row>
    <row r="3194" spans="2:2" x14ac:dyDescent="0.35">
      <c r="B3194"/>
    </row>
    <row r="3195" spans="2:2" x14ac:dyDescent="0.35">
      <c r="B3195"/>
    </row>
    <row r="3196" spans="2:2" x14ac:dyDescent="0.35">
      <c r="B3196"/>
    </row>
    <row r="3197" spans="2:2" x14ac:dyDescent="0.35">
      <c r="B3197"/>
    </row>
    <row r="3198" spans="2:2" x14ac:dyDescent="0.35">
      <c r="B3198"/>
    </row>
    <row r="3199" spans="2:2" x14ac:dyDescent="0.35">
      <c r="B3199"/>
    </row>
    <row r="3200" spans="2:2" x14ac:dyDescent="0.35">
      <c r="B3200"/>
    </row>
    <row r="3201" spans="1:2" x14ac:dyDescent="0.35">
      <c r="B3201"/>
    </row>
    <row r="3202" spans="1:2" x14ac:dyDescent="0.35">
      <c r="B3202"/>
    </row>
    <row r="3203" spans="1:2" x14ac:dyDescent="0.35">
      <c r="B3203"/>
    </row>
    <row r="3204" spans="1:2" x14ac:dyDescent="0.35">
      <c r="B3204"/>
    </row>
    <row r="3205" spans="1:2" x14ac:dyDescent="0.35">
      <c r="B3205"/>
    </row>
    <row r="3206" spans="1:2" x14ac:dyDescent="0.35">
      <c r="B3206"/>
    </row>
    <row r="3207" spans="1:2" x14ac:dyDescent="0.35">
      <c r="B3207"/>
    </row>
    <row r="3208" spans="1:2" x14ac:dyDescent="0.35">
      <c r="B3208"/>
    </row>
    <row r="3209" spans="1:2" x14ac:dyDescent="0.35">
      <c r="B3209"/>
    </row>
    <row r="3210" spans="1:2" x14ac:dyDescent="0.35">
      <c r="B3210"/>
    </row>
    <row r="3211" spans="1:2" x14ac:dyDescent="0.35">
      <c r="B3211"/>
    </row>
    <row r="3212" spans="1:2" x14ac:dyDescent="0.35">
      <c r="B3212"/>
    </row>
    <row r="3213" spans="1:2" x14ac:dyDescent="0.35">
      <c r="B3213"/>
    </row>
    <row r="3214" spans="1:2" x14ac:dyDescent="0.35">
      <c r="B3214"/>
    </row>
    <row r="3215" spans="1:2" x14ac:dyDescent="0.35">
      <c r="B3215"/>
    </row>
    <row r="3216" spans="1:2" ht="15.5" x14ac:dyDescent="0.35">
      <c r="A3216" s="49"/>
      <c r="B3216" s="49"/>
    </row>
    <row r="3217" spans="1:2" x14ac:dyDescent="0.35">
      <c r="B3217"/>
    </row>
    <row r="3218" spans="1:2" x14ac:dyDescent="0.35">
      <c r="B3218"/>
    </row>
    <row r="3219" spans="1:2" x14ac:dyDescent="0.35">
      <c r="B3219"/>
    </row>
    <row r="3220" spans="1:2" x14ac:dyDescent="0.35">
      <c r="B3220"/>
    </row>
    <row r="3221" spans="1:2" x14ac:dyDescent="0.35">
      <c r="B3221"/>
    </row>
    <row r="3222" spans="1:2" x14ac:dyDescent="0.35">
      <c r="B3222"/>
    </row>
    <row r="3223" spans="1:2" x14ac:dyDescent="0.35">
      <c r="B3223"/>
    </row>
    <row r="3224" spans="1:2" x14ac:dyDescent="0.35">
      <c r="B3224"/>
    </row>
    <row r="3225" spans="1:2" x14ac:dyDescent="0.35">
      <c r="B3225"/>
    </row>
    <row r="3226" spans="1:2" ht="15.5" x14ac:dyDescent="0.35">
      <c r="A3226" s="49"/>
      <c r="B3226"/>
    </row>
    <row r="3227" spans="1:2" x14ac:dyDescent="0.35">
      <c r="B3227"/>
    </row>
    <row r="3228" spans="1:2" x14ac:dyDescent="0.35">
      <c r="B3228"/>
    </row>
    <row r="3229" spans="1:2" x14ac:dyDescent="0.35">
      <c r="B3229"/>
    </row>
    <row r="3230" spans="1:2" x14ac:dyDescent="0.35">
      <c r="B3230"/>
    </row>
    <row r="3231" spans="1:2" x14ac:dyDescent="0.35">
      <c r="B3231"/>
    </row>
    <row r="3232" spans="1:2" x14ac:dyDescent="0.35">
      <c r="B3232"/>
    </row>
    <row r="3233" spans="1:2" x14ac:dyDescent="0.35">
      <c r="B3233"/>
    </row>
    <row r="3234" spans="1:2" x14ac:dyDescent="0.35">
      <c r="B3234"/>
    </row>
    <row r="3235" spans="1:2" ht="15.5" x14ac:dyDescent="0.35">
      <c r="A3235" s="49"/>
      <c r="B3235" s="49"/>
    </row>
    <row r="3236" spans="1:2" x14ac:dyDescent="0.35">
      <c r="B3236"/>
    </row>
    <row r="3237" spans="1:2" x14ac:dyDescent="0.35">
      <c r="B3237"/>
    </row>
    <row r="3238" spans="1:2" x14ac:dyDescent="0.35">
      <c r="B3238"/>
    </row>
    <row r="3239" spans="1:2" x14ac:dyDescent="0.35">
      <c r="B3239"/>
    </row>
    <row r="3240" spans="1:2" x14ac:dyDescent="0.35">
      <c r="B3240"/>
    </row>
    <row r="3241" spans="1:2" x14ac:dyDescent="0.35">
      <c r="B3241"/>
    </row>
    <row r="3242" spans="1:2" x14ac:dyDescent="0.35">
      <c r="B3242"/>
    </row>
    <row r="3243" spans="1:2" x14ac:dyDescent="0.35">
      <c r="B3243"/>
    </row>
    <row r="3244" spans="1:2" x14ac:dyDescent="0.35">
      <c r="B3244"/>
    </row>
    <row r="3245" spans="1:2" ht="15.5" x14ac:dyDescent="0.35">
      <c r="A3245" s="49"/>
      <c r="B3245"/>
    </row>
    <row r="3246" spans="1:2" x14ac:dyDescent="0.35">
      <c r="B3246"/>
    </row>
    <row r="3247" spans="1:2" x14ac:dyDescent="0.35">
      <c r="B3247"/>
    </row>
    <row r="3248" spans="1:2" x14ac:dyDescent="0.35">
      <c r="B3248"/>
    </row>
    <row r="3249" spans="1:2" x14ac:dyDescent="0.35">
      <c r="B3249"/>
    </row>
    <row r="3250" spans="1:2" x14ac:dyDescent="0.35">
      <c r="B3250"/>
    </row>
    <row r="3251" spans="1:2" x14ac:dyDescent="0.35">
      <c r="B3251"/>
    </row>
    <row r="3252" spans="1:2" x14ac:dyDescent="0.35">
      <c r="B3252"/>
    </row>
    <row r="3253" spans="1:2" x14ac:dyDescent="0.35">
      <c r="B3253"/>
    </row>
    <row r="3254" spans="1:2" ht="15.5" x14ac:dyDescent="0.35">
      <c r="A3254" s="49"/>
      <c r="B3254" s="49"/>
    </row>
    <row r="3255" spans="1:2" x14ac:dyDescent="0.35">
      <c r="B3255"/>
    </row>
    <row r="3256" spans="1:2" x14ac:dyDescent="0.35">
      <c r="B3256"/>
    </row>
    <row r="3257" spans="1:2" x14ac:dyDescent="0.35">
      <c r="B3257"/>
    </row>
    <row r="3258" spans="1:2" x14ac:dyDescent="0.35">
      <c r="B3258"/>
    </row>
    <row r="3259" spans="1:2" x14ac:dyDescent="0.35">
      <c r="B3259"/>
    </row>
    <row r="3260" spans="1:2" x14ac:dyDescent="0.35">
      <c r="B3260"/>
    </row>
    <row r="3261" spans="1:2" x14ac:dyDescent="0.35">
      <c r="B3261"/>
    </row>
    <row r="3262" spans="1:2" x14ac:dyDescent="0.35">
      <c r="B3262"/>
    </row>
    <row r="3263" spans="1:2" x14ac:dyDescent="0.35">
      <c r="B3263"/>
    </row>
    <row r="3264" spans="1:2" ht="15.5" x14ac:dyDescent="0.35">
      <c r="A3264" s="49"/>
      <c r="B3264"/>
    </row>
    <row r="3265" spans="1:2" x14ac:dyDescent="0.35">
      <c r="B3265"/>
    </row>
    <row r="3266" spans="1:2" x14ac:dyDescent="0.35">
      <c r="B3266"/>
    </row>
    <row r="3267" spans="1:2" x14ac:dyDescent="0.35">
      <c r="B3267"/>
    </row>
    <row r="3268" spans="1:2" x14ac:dyDescent="0.35">
      <c r="B3268"/>
    </row>
    <row r="3269" spans="1:2" x14ac:dyDescent="0.35">
      <c r="B3269"/>
    </row>
    <row r="3270" spans="1:2" x14ac:dyDescent="0.35">
      <c r="B3270"/>
    </row>
    <row r="3271" spans="1:2" x14ac:dyDescent="0.35">
      <c r="B3271"/>
    </row>
    <row r="3272" spans="1:2" x14ac:dyDescent="0.35">
      <c r="B3272"/>
    </row>
    <row r="3273" spans="1:2" ht="15.5" x14ac:dyDescent="0.35">
      <c r="A3273" s="49"/>
      <c r="B3273" s="49"/>
    </row>
    <row r="3274" spans="1:2" x14ac:dyDescent="0.35">
      <c r="B3274"/>
    </row>
    <row r="3275" spans="1:2" x14ac:dyDescent="0.35">
      <c r="B3275"/>
    </row>
    <row r="3276" spans="1:2" x14ac:dyDescent="0.35">
      <c r="B3276"/>
    </row>
    <row r="3277" spans="1:2" x14ac:dyDescent="0.35">
      <c r="B3277"/>
    </row>
    <row r="3278" spans="1:2" x14ac:dyDescent="0.35">
      <c r="B3278"/>
    </row>
    <row r="3279" spans="1:2" x14ac:dyDescent="0.35">
      <c r="B3279"/>
    </row>
    <row r="3280" spans="1:2" x14ac:dyDescent="0.35">
      <c r="B3280"/>
    </row>
    <row r="3281" spans="1:2" x14ac:dyDescent="0.35">
      <c r="B3281"/>
    </row>
    <row r="3282" spans="1:2" x14ac:dyDescent="0.35">
      <c r="B3282"/>
    </row>
    <row r="3283" spans="1:2" ht="15.5" x14ac:dyDescent="0.35">
      <c r="A3283" s="49"/>
      <c r="B3283"/>
    </row>
    <row r="3284" spans="1:2" x14ac:dyDescent="0.35">
      <c r="B3284"/>
    </row>
    <row r="3285" spans="1:2" x14ac:dyDescent="0.35">
      <c r="B3285"/>
    </row>
    <row r="3286" spans="1:2" x14ac:dyDescent="0.35">
      <c r="B3286"/>
    </row>
    <row r="3287" spans="1:2" x14ac:dyDescent="0.35">
      <c r="B3287"/>
    </row>
    <row r="3288" spans="1:2" x14ac:dyDescent="0.35">
      <c r="B3288"/>
    </row>
    <row r="3289" spans="1:2" x14ac:dyDescent="0.35">
      <c r="B3289"/>
    </row>
    <row r="3290" spans="1:2" x14ac:dyDescent="0.35">
      <c r="B3290"/>
    </row>
    <row r="3291" spans="1:2" x14ac:dyDescent="0.35">
      <c r="B3291"/>
    </row>
    <row r="3292" spans="1:2" ht="15.5" x14ac:dyDescent="0.35">
      <c r="A3292" s="49"/>
      <c r="B3292" s="49"/>
    </row>
    <row r="3293" spans="1:2" x14ac:dyDescent="0.35">
      <c r="B3293"/>
    </row>
    <row r="3294" spans="1:2" x14ac:dyDescent="0.35">
      <c r="B3294"/>
    </row>
    <row r="3295" spans="1:2" x14ac:dyDescent="0.35">
      <c r="B3295"/>
    </row>
    <row r="3296" spans="1:2" x14ac:dyDescent="0.35">
      <c r="B3296"/>
    </row>
    <row r="3297" spans="1:2" x14ac:dyDescent="0.35">
      <c r="B3297"/>
    </row>
    <row r="3298" spans="1:2" x14ac:dyDescent="0.35">
      <c r="B3298"/>
    </row>
    <row r="3299" spans="1:2" x14ac:dyDescent="0.35">
      <c r="B3299"/>
    </row>
    <row r="3300" spans="1:2" x14ac:dyDescent="0.35">
      <c r="B3300"/>
    </row>
    <row r="3301" spans="1:2" x14ac:dyDescent="0.35">
      <c r="B3301"/>
    </row>
    <row r="3302" spans="1:2" ht="15.5" x14ac:dyDescent="0.35">
      <c r="A3302" s="49"/>
      <c r="B3302"/>
    </row>
    <row r="3303" spans="1:2" x14ac:dyDescent="0.35">
      <c r="B3303"/>
    </row>
    <row r="3304" spans="1:2" x14ac:dyDescent="0.35">
      <c r="B3304"/>
    </row>
    <row r="3305" spans="1:2" x14ac:dyDescent="0.35">
      <c r="B3305"/>
    </row>
    <row r="3306" spans="1:2" x14ac:dyDescent="0.35">
      <c r="B3306"/>
    </row>
    <row r="3307" spans="1:2" x14ac:dyDescent="0.35">
      <c r="B3307"/>
    </row>
    <row r="3308" spans="1:2" x14ac:dyDescent="0.35">
      <c r="B3308"/>
    </row>
    <row r="3309" spans="1:2" x14ac:dyDescent="0.35">
      <c r="B3309"/>
    </row>
    <row r="3310" spans="1:2" x14ac:dyDescent="0.35">
      <c r="B3310"/>
    </row>
    <row r="3311" spans="1:2" ht="15.5" x14ac:dyDescent="0.35">
      <c r="A3311" s="49"/>
      <c r="B3311" s="49"/>
    </row>
    <row r="3312" spans="1:2" x14ac:dyDescent="0.35">
      <c r="B3312"/>
    </row>
    <row r="3313" spans="1:2" x14ac:dyDescent="0.35">
      <c r="B3313"/>
    </row>
    <row r="3314" spans="1:2" x14ac:dyDescent="0.35">
      <c r="B3314"/>
    </row>
    <row r="3315" spans="1:2" x14ac:dyDescent="0.35">
      <c r="B3315"/>
    </row>
    <row r="3316" spans="1:2" x14ac:dyDescent="0.35">
      <c r="B3316"/>
    </row>
    <row r="3317" spans="1:2" x14ac:dyDescent="0.35">
      <c r="B3317"/>
    </row>
    <row r="3318" spans="1:2" x14ac:dyDescent="0.35">
      <c r="B3318"/>
    </row>
    <row r="3319" spans="1:2" x14ac:dyDescent="0.35">
      <c r="B3319"/>
    </row>
    <row r="3320" spans="1:2" x14ac:dyDescent="0.35">
      <c r="B3320"/>
    </row>
    <row r="3321" spans="1:2" ht="15.5" x14ac:dyDescent="0.35">
      <c r="A3321" s="49"/>
      <c r="B3321"/>
    </row>
    <row r="3322" spans="1:2" x14ac:dyDescent="0.35">
      <c r="B3322"/>
    </row>
    <row r="3323" spans="1:2" x14ac:dyDescent="0.35">
      <c r="B3323"/>
    </row>
    <row r="3324" spans="1:2" x14ac:dyDescent="0.35">
      <c r="B3324"/>
    </row>
    <row r="3325" spans="1:2" x14ac:dyDescent="0.35">
      <c r="B3325"/>
    </row>
    <row r="3326" spans="1:2" x14ac:dyDescent="0.35">
      <c r="B3326"/>
    </row>
    <row r="3327" spans="1:2" x14ac:dyDescent="0.35">
      <c r="B3327"/>
    </row>
    <row r="3328" spans="1:2" x14ac:dyDescent="0.35">
      <c r="B3328"/>
    </row>
    <row r="3329" spans="1:2" x14ac:dyDescent="0.35">
      <c r="B3329"/>
    </row>
    <row r="3330" spans="1:2" ht="15.5" x14ac:dyDescent="0.35">
      <c r="A3330" s="49"/>
      <c r="B3330" s="49"/>
    </row>
    <row r="3331" spans="1:2" x14ac:dyDescent="0.35">
      <c r="B3331"/>
    </row>
    <row r="3332" spans="1:2" x14ac:dyDescent="0.35">
      <c r="B3332"/>
    </row>
    <row r="3333" spans="1:2" x14ac:dyDescent="0.35">
      <c r="B3333"/>
    </row>
    <row r="3334" spans="1:2" x14ac:dyDescent="0.35">
      <c r="B3334"/>
    </row>
    <row r="3335" spans="1:2" x14ac:dyDescent="0.35">
      <c r="B3335"/>
    </row>
    <row r="3336" spans="1:2" x14ac:dyDescent="0.35">
      <c r="B3336"/>
    </row>
    <row r="3337" spans="1:2" x14ac:dyDescent="0.35">
      <c r="B3337"/>
    </row>
    <row r="3338" spans="1:2" x14ac:dyDescent="0.35">
      <c r="B3338"/>
    </row>
    <row r="3339" spans="1:2" x14ac:dyDescent="0.35">
      <c r="B3339"/>
    </row>
    <row r="3340" spans="1:2" ht="15.5" x14ac:dyDescent="0.35">
      <c r="A3340" s="49"/>
      <c r="B3340"/>
    </row>
    <row r="3341" spans="1:2" x14ac:dyDescent="0.35">
      <c r="B3341"/>
    </row>
    <row r="3342" spans="1:2" x14ac:dyDescent="0.35">
      <c r="B3342"/>
    </row>
    <row r="3343" spans="1:2" x14ac:dyDescent="0.35">
      <c r="B3343"/>
    </row>
    <row r="3344" spans="1:2" x14ac:dyDescent="0.35">
      <c r="B3344"/>
    </row>
    <row r="3345" spans="1:2" x14ac:dyDescent="0.35">
      <c r="B3345"/>
    </row>
    <row r="3346" spans="1:2" x14ac:dyDescent="0.35">
      <c r="B3346"/>
    </row>
    <row r="3347" spans="1:2" x14ac:dyDescent="0.35">
      <c r="B3347"/>
    </row>
    <row r="3348" spans="1:2" x14ac:dyDescent="0.35">
      <c r="B3348"/>
    </row>
    <row r="3349" spans="1:2" ht="15.5" x14ac:dyDescent="0.35">
      <c r="A3349" s="49"/>
      <c r="B3349" s="49"/>
    </row>
    <row r="3350" spans="1:2" x14ac:dyDescent="0.35">
      <c r="B3350"/>
    </row>
    <row r="3351" spans="1:2" x14ac:dyDescent="0.35">
      <c r="B3351"/>
    </row>
    <row r="3352" spans="1:2" x14ac:dyDescent="0.35">
      <c r="B3352"/>
    </row>
    <row r="3353" spans="1:2" x14ac:dyDescent="0.35">
      <c r="B3353"/>
    </row>
    <row r="3354" spans="1:2" x14ac:dyDescent="0.35">
      <c r="B3354"/>
    </row>
    <row r="3355" spans="1:2" x14ac:dyDescent="0.35">
      <c r="B3355"/>
    </row>
    <row r="3356" spans="1:2" x14ac:dyDescent="0.35">
      <c r="B3356"/>
    </row>
    <row r="3357" spans="1:2" x14ac:dyDescent="0.35">
      <c r="B3357"/>
    </row>
    <row r="3358" spans="1:2" x14ac:dyDescent="0.35">
      <c r="B3358"/>
    </row>
    <row r="3359" spans="1:2" ht="15.5" x14ac:dyDescent="0.35">
      <c r="A3359" s="49"/>
      <c r="B3359"/>
    </row>
    <row r="3360" spans="1:2" x14ac:dyDescent="0.35">
      <c r="B3360"/>
    </row>
    <row r="3361" spans="1:2" x14ac:dyDescent="0.35">
      <c r="B3361"/>
    </row>
    <row r="3362" spans="1:2" x14ac:dyDescent="0.35">
      <c r="B3362"/>
    </row>
    <row r="3363" spans="1:2" x14ac:dyDescent="0.35">
      <c r="B3363"/>
    </row>
    <row r="3364" spans="1:2" x14ac:dyDescent="0.35">
      <c r="B3364"/>
    </row>
    <row r="3365" spans="1:2" x14ac:dyDescent="0.35">
      <c r="B3365"/>
    </row>
    <row r="3366" spans="1:2" x14ac:dyDescent="0.35">
      <c r="B3366"/>
    </row>
    <row r="3367" spans="1:2" x14ac:dyDescent="0.35">
      <c r="B3367"/>
    </row>
    <row r="3368" spans="1:2" ht="15.5" x14ac:dyDescent="0.35">
      <c r="A3368" s="49"/>
      <c r="B3368" s="49"/>
    </row>
    <row r="3369" spans="1:2" x14ac:dyDescent="0.35">
      <c r="B3369"/>
    </row>
    <row r="3370" spans="1:2" x14ac:dyDescent="0.35">
      <c r="B3370"/>
    </row>
    <row r="3371" spans="1:2" x14ac:dyDescent="0.35">
      <c r="B3371"/>
    </row>
    <row r="3372" spans="1:2" x14ac:dyDescent="0.35">
      <c r="B3372"/>
    </row>
    <row r="3373" spans="1:2" x14ac:dyDescent="0.35">
      <c r="B3373"/>
    </row>
    <row r="3374" spans="1:2" x14ac:dyDescent="0.35">
      <c r="B3374"/>
    </row>
    <row r="3375" spans="1:2" x14ac:dyDescent="0.35">
      <c r="B3375"/>
    </row>
    <row r="3376" spans="1:2" x14ac:dyDescent="0.35">
      <c r="B3376"/>
    </row>
    <row r="3377" spans="1:2" x14ac:dyDescent="0.35">
      <c r="B3377"/>
    </row>
    <row r="3378" spans="1:2" ht="15.5" x14ac:dyDescent="0.35">
      <c r="A3378" s="49"/>
      <c r="B3378"/>
    </row>
    <row r="3379" spans="1:2" x14ac:dyDescent="0.35">
      <c r="B3379"/>
    </row>
    <row r="3380" spans="1:2" x14ac:dyDescent="0.35">
      <c r="B3380"/>
    </row>
    <row r="3381" spans="1:2" x14ac:dyDescent="0.35">
      <c r="B3381"/>
    </row>
    <row r="3382" spans="1:2" x14ac:dyDescent="0.35">
      <c r="B3382"/>
    </row>
    <row r="3383" spans="1:2" x14ac:dyDescent="0.35">
      <c r="B3383"/>
    </row>
    <row r="3384" spans="1:2" x14ac:dyDescent="0.35">
      <c r="B3384"/>
    </row>
    <row r="3385" spans="1:2" x14ac:dyDescent="0.35">
      <c r="B3385"/>
    </row>
    <row r="3386" spans="1:2" x14ac:dyDescent="0.35">
      <c r="B3386"/>
    </row>
    <row r="3387" spans="1:2" ht="15.5" x14ac:dyDescent="0.35">
      <c r="A3387" s="49"/>
      <c r="B3387" s="49"/>
    </row>
    <row r="3388" spans="1:2" x14ac:dyDescent="0.35">
      <c r="B3388"/>
    </row>
    <row r="3389" spans="1:2" x14ac:dyDescent="0.35">
      <c r="B3389"/>
    </row>
    <row r="3390" spans="1:2" x14ac:dyDescent="0.35">
      <c r="B3390"/>
    </row>
    <row r="3391" spans="1:2" x14ac:dyDescent="0.35">
      <c r="B3391"/>
    </row>
    <row r="3392" spans="1:2" x14ac:dyDescent="0.35">
      <c r="B3392"/>
    </row>
    <row r="3393" spans="1:2" x14ac:dyDescent="0.35">
      <c r="B3393"/>
    </row>
    <row r="3394" spans="1:2" x14ac:dyDescent="0.35">
      <c r="B3394"/>
    </row>
    <row r="3395" spans="1:2" x14ac:dyDescent="0.35">
      <c r="B3395"/>
    </row>
    <row r="3396" spans="1:2" x14ac:dyDescent="0.35">
      <c r="B3396"/>
    </row>
    <row r="3397" spans="1:2" ht="15.5" x14ac:dyDescent="0.35">
      <c r="A3397" s="49"/>
      <c r="B3397"/>
    </row>
    <row r="3398" spans="1:2" x14ac:dyDescent="0.35">
      <c r="B3398"/>
    </row>
    <row r="3399" spans="1:2" x14ac:dyDescent="0.35">
      <c r="B3399"/>
    </row>
    <row r="3400" spans="1:2" x14ac:dyDescent="0.35">
      <c r="B3400"/>
    </row>
    <row r="3401" spans="1:2" x14ac:dyDescent="0.35">
      <c r="B3401"/>
    </row>
    <row r="3402" spans="1:2" x14ac:dyDescent="0.35">
      <c r="B3402"/>
    </row>
    <row r="3403" spans="1:2" x14ac:dyDescent="0.35">
      <c r="B3403"/>
    </row>
    <row r="3404" spans="1:2" x14ac:dyDescent="0.35">
      <c r="B3404"/>
    </row>
    <row r="3405" spans="1:2" x14ac:dyDescent="0.35">
      <c r="B3405"/>
    </row>
    <row r="3406" spans="1:2" ht="15.5" x14ac:dyDescent="0.35">
      <c r="A3406" s="49"/>
      <c r="B3406" s="49"/>
    </row>
    <row r="3407" spans="1:2" x14ac:dyDescent="0.35">
      <c r="B3407"/>
    </row>
    <row r="3408" spans="1:2" x14ac:dyDescent="0.35">
      <c r="B3408"/>
    </row>
    <row r="3409" spans="1:2" x14ac:dyDescent="0.35">
      <c r="B3409"/>
    </row>
    <row r="3410" spans="1:2" x14ac:dyDescent="0.35">
      <c r="B3410"/>
    </row>
    <row r="3411" spans="1:2" x14ac:dyDescent="0.35">
      <c r="B3411"/>
    </row>
    <row r="3412" spans="1:2" x14ac:dyDescent="0.35">
      <c r="B3412"/>
    </row>
    <row r="3413" spans="1:2" x14ac:dyDescent="0.35">
      <c r="B3413"/>
    </row>
    <row r="3414" spans="1:2" x14ac:dyDescent="0.35">
      <c r="B3414"/>
    </row>
    <row r="3415" spans="1:2" x14ac:dyDescent="0.35">
      <c r="B3415"/>
    </row>
    <row r="3416" spans="1:2" ht="15.5" x14ac:dyDescent="0.35">
      <c r="A3416" s="49"/>
      <c r="B3416"/>
    </row>
    <row r="3417" spans="1:2" x14ac:dyDescent="0.35">
      <c r="B3417"/>
    </row>
    <row r="3418" spans="1:2" x14ac:dyDescent="0.35">
      <c r="B3418"/>
    </row>
    <row r="3419" spans="1:2" x14ac:dyDescent="0.35">
      <c r="B3419"/>
    </row>
    <row r="3420" spans="1:2" x14ac:dyDescent="0.35">
      <c r="B3420"/>
    </row>
    <row r="3421" spans="1:2" x14ac:dyDescent="0.35">
      <c r="B3421"/>
    </row>
    <row r="3422" spans="1:2" x14ac:dyDescent="0.35">
      <c r="B3422"/>
    </row>
    <row r="3423" spans="1:2" x14ac:dyDescent="0.35">
      <c r="B3423"/>
    </row>
    <row r="3424" spans="1:2" x14ac:dyDescent="0.35">
      <c r="B3424"/>
    </row>
    <row r="3425" spans="1:2" ht="15.5" x14ac:dyDescent="0.35">
      <c r="A3425" s="49"/>
      <c r="B3425" s="49"/>
    </row>
    <row r="3426" spans="1:2" x14ac:dyDescent="0.35">
      <c r="B3426"/>
    </row>
    <row r="3427" spans="1:2" x14ac:dyDescent="0.35">
      <c r="B3427"/>
    </row>
    <row r="3428" spans="1:2" x14ac:dyDescent="0.35">
      <c r="B3428"/>
    </row>
    <row r="3429" spans="1:2" x14ac:dyDescent="0.35">
      <c r="B3429"/>
    </row>
    <row r="3430" spans="1:2" x14ac:dyDescent="0.35">
      <c r="B3430"/>
    </row>
    <row r="3431" spans="1:2" x14ac:dyDescent="0.35">
      <c r="B3431"/>
    </row>
    <row r="3432" spans="1:2" x14ac:dyDescent="0.35">
      <c r="B3432"/>
    </row>
    <row r="3433" spans="1:2" x14ac:dyDescent="0.35">
      <c r="B3433"/>
    </row>
    <row r="3434" spans="1:2" x14ac:dyDescent="0.35">
      <c r="B3434"/>
    </row>
    <row r="3435" spans="1:2" ht="15.5" x14ac:dyDescent="0.35">
      <c r="A3435" s="49"/>
      <c r="B3435"/>
    </row>
    <row r="3436" spans="1:2" x14ac:dyDescent="0.35">
      <c r="B3436"/>
    </row>
    <row r="3437" spans="1:2" x14ac:dyDescent="0.35">
      <c r="B3437"/>
    </row>
    <row r="3438" spans="1:2" x14ac:dyDescent="0.35">
      <c r="B3438"/>
    </row>
    <row r="3439" spans="1:2" x14ac:dyDescent="0.35">
      <c r="B3439"/>
    </row>
    <row r="3440" spans="1:2" x14ac:dyDescent="0.35">
      <c r="B3440"/>
    </row>
    <row r="3441" spans="1:2" x14ac:dyDescent="0.35">
      <c r="B3441"/>
    </row>
    <row r="3442" spans="1:2" x14ac:dyDescent="0.35">
      <c r="B3442"/>
    </row>
    <row r="3443" spans="1:2" x14ac:dyDescent="0.35">
      <c r="B3443"/>
    </row>
    <row r="3444" spans="1:2" ht="15.5" x14ac:dyDescent="0.35">
      <c r="A3444" s="49"/>
      <c r="B3444" s="49"/>
    </row>
    <row r="3445" spans="1:2" x14ac:dyDescent="0.35">
      <c r="B3445"/>
    </row>
    <row r="3446" spans="1:2" x14ac:dyDescent="0.35">
      <c r="B3446"/>
    </row>
    <row r="3447" spans="1:2" x14ac:dyDescent="0.35">
      <c r="B3447"/>
    </row>
    <row r="3448" spans="1:2" x14ac:dyDescent="0.35">
      <c r="B3448"/>
    </row>
    <row r="3449" spans="1:2" x14ac:dyDescent="0.35">
      <c r="B3449"/>
    </row>
    <row r="3450" spans="1:2" x14ac:dyDescent="0.35">
      <c r="B3450"/>
    </row>
    <row r="3451" spans="1:2" x14ac:dyDescent="0.35">
      <c r="B3451"/>
    </row>
    <row r="3452" spans="1:2" x14ac:dyDescent="0.35">
      <c r="B3452"/>
    </row>
    <row r="3453" spans="1:2" x14ac:dyDescent="0.35">
      <c r="B3453"/>
    </row>
    <row r="3454" spans="1:2" ht="15.5" x14ac:dyDescent="0.35">
      <c r="A3454" s="49"/>
      <c r="B3454"/>
    </row>
    <row r="3455" spans="1:2" x14ac:dyDescent="0.35">
      <c r="B3455"/>
    </row>
    <row r="3456" spans="1:2" x14ac:dyDescent="0.35">
      <c r="B3456"/>
    </row>
    <row r="3457" spans="1:2" x14ac:dyDescent="0.35">
      <c r="B3457"/>
    </row>
    <row r="3458" spans="1:2" x14ac:dyDescent="0.35">
      <c r="B3458"/>
    </row>
    <row r="3459" spans="1:2" x14ac:dyDescent="0.35">
      <c r="B3459"/>
    </row>
    <row r="3460" spans="1:2" x14ac:dyDescent="0.35">
      <c r="B3460"/>
    </row>
    <row r="3461" spans="1:2" x14ac:dyDescent="0.35">
      <c r="B3461"/>
    </row>
    <row r="3462" spans="1:2" x14ac:dyDescent="0.35">
      <c r="B3462"/>
    </row>
    <row r="3463" spans="1:2" ht="15.5" x14ac:dyDescent="0.35">
      <c r="A3463" s="49"/>
      <c r="B3463" s="49"/>
    </row>
    <row r="3464" spans="1:2" x14ac:dyDescent="0.35">
      <c r="B3464"/>
    </row>
    <row r="3465" spans="1:2" x14ac:dyDescent="0.35">
      <c r="B3465"/>
    </row>
    <row r="3466" spans="1:2" x14ac:dyDescent="0.35">
      <c r="B3466"/>
    </row>
    <row r="3467" spans="1:2" x14ac:dyDescent="0.35">
      <c r="B3467"/>
    </row>
    <row r="3468" spans="1:2" x14ac:dyDescent="0.35">
      <c r="B3468"/>
    </row>
    <row r="3469" spans="1:2" x14ac:dyDescent="0.35">
      <c r="B3469"/>
    </row>
    <row r="3470" spans="1:2" x14ac:dyDescent="0.35">
      <c r="B3470"/>
    </row>
    <row r="3471" spans="1:2" x14ac:dyDescent="0.35">
      <c r="B3471"/>
    </row>
    <row r="3472" spans="1:2" x14ac:dyDescent="0.35">
      <c r="B3472"/>
    </row>
    <row r="3473" spans="1:2" ht="15.5" x14ac:dyDescent="0.35">
      <c r="A3473" s="49"/>
      <c r="B3473"/>
    </row>
    <row r="3474" spans="1:2" x14ac:dyDescent="0.35">
      <c r="B3474"/>
    </row>
    <row r="3475" spans="1:2" x14ac:dyDescent="0.35">
      <c r="B3475"/>
    </row>
    <row r="3476" spans="1:2" x14ac:dyDescent="0.35">
      <c r="B3476"/>
    </row>
    <row r="3477" spans="1:2" x14ac:dyDescent="0.35">
      <c r="B3477"/>
    </row>
    <row r="3478" spans="1:2" x14ac:dyDescent="0.35">
      <c r="B3478"/>
    </row>
    <row r="3479" spans="1:2" x14ac:dyDescent="0.35">
      <c r="B3479"/>
    </row>
    <row r="3480" spans="1:2" x14ac:dyDescent="0.35">
      <c r="B3480"/>
    </row>
    <row r="3481" spans="1:2" x14ac:dyDescent="0.35">
      <c r="B3481"/>
    </row>
    <row r="3482" spans="1:2" ht="15.5" x14ac:dyDescent="0.35">
      <c r="A3482" s="49"/>
      <c r="B3482" s="49"/>
    </row>
    <row r="3483" spans="1:2" x14ac:dyDescent="0.35">
      <c r="B3483"/>
    </row>
    <row r="3484" spans="1:2" x14ac:dyDescent="0.35">
      <c r="B3484"/>
    </row>
    <row r="3485" spans="1:2" x14ac:dyDescent="0.35">
      <c r="B3485"/>
    </row>
    <row r="3486" spans="1:2" x14ac:dyDescent="0.35">
      <c r="B3486"/>
    </row>
    <row r="3487" spans="1:2" x14ac:dyDescent="0.35">
      <c r="B3487"/>
    </row>
    <row r="3488" spans="1:2" x14ac:dyDescent="0.35">
      <c r="B3488"/>
    </row>
    <row r="3489" spans="1:2" x14ac:dyDescent="0.35">
      <c r="B3489"/>
    </row>
    <row r="3490" spans="1:2" x14ac:dyDescent="0.35">
      <c r="B3490"/>
    </row>
    <row r="3491" spans="1:2" x14ac:dyDescent="0.35">
      <c r="B3491"/>
    </row>
    <row r="3492" spans="1:2" ht="15.5" x14ac:dyDescent="0.35">
      <c r="A3492" s="49"/>
      <c r="B3492"/>
    </row>
    <row r="3493" spans="1:2" x14ac:dyDescent="0.35">
      <c r="B3493"/>
    </row>
    <row r="3494" spans="1:2" x14ac:dyDescent="0.35">
      <c r="B3494"/>
    </row>
    <row r="3495" spans="1:2" x14ac:dyDescent="0.35">
      <c r="B3495"/>
    </row>
    <row r="3496" spans="1:2" x14ac:dyDescent="0.35">
      <c r="B3496"/>
    </row>
    <row r="3497" spans="1:2" x14ac:dyDescent="0.35">
      <c r="B3497"/>
    </row>
    <row r="3498" spans="1:2" x14ac:dyDescent="0.35">
      <c r="B3498"/>
    </row>
    <row r="3499" spans="1:2" x14ac:dyDescent="0.35">
      <c r="B3499"/>
    </row>
    <row r="3500" spans="1:2" x14ac:dyDescent="0.35">
      <c r="B3500"/>
    </row>
    <row r="3501" spans="1:2" ht="15.5" x14ac:dyDescent="0.35">
      <c r="A3501" s="49"/>
      <c r="B3501" s="49"/>
    </row>
    <row r="3502" spans="1:2" x14ac:dyDescent="0.35">
      <c r="B3502"/>
    </row>
    <row r="3503" spans="1:2" x14ac:dyDescent="0.35">
      <c r="B3503"/>
    </row>
    <row r="3504" spans="1:2" x14ac:dyDescent="0.35">
      <c r="B3504"/>
    </row>
    <row r="3505" spans="1:2" x14ac:dyDescent="0.35">
      <c r="B3505"/>
    </row>
    <row r="3506" spans="1:2" x14ac:dyDescent="0.35">
      <c r="B3506"/>
    </row>
    <row r="3507" spans="1:2" x14ac:dyDescent="0.35">
      <c r="B3507"/>
    </row>
    <row r="3508" spans="1:2" x14ac:dyDescent="0.35">
      <c r="B3508"/>
    </row>
    <row r="3509" spans="1:2" x14ac:dyDescent="0.35">
      <c r="B3509"/>
    </row>
    <row r="3510" spans="1:2" x14ac:dyDescent="0.35">
      <c r="B3510"/>
    </row>
    <row r="3511" spans="1:2" ht="15.5" x14ac:dyDescent="0.35">
      <c r="A3511" s="49"/>
      <c r="B3511"/>
    </row>
    <row r="3512" spans="1:2" x14ac:dyDescent="0.35">
      <c r="B3512"/>
    </row>
    <row r="3513" spans="1:2" x14ac:dyDescent="0.35">
      <c r="B3513"/>
    </row>
    <row r="3514" spans="1:2" x14ac:dyDescent="0.35">
      <c r="B3514"/>
    </row>
    <row r="3515" spans="1:2" x14ac:dyDescent="0.35">
      <c r="B3515"/>
    </row>
    <row r="3516" spans="1:2" x14ac:dyDescent="0.35">
      <c r="B3516"/>
    </row>
    <row r="3517" spans="1:2" x14ac:dyDescent="0.35">
      <c r="B3517"/>
    </row>
    <row r="3518" spans="1:2" x14ac:dyDescent="0.35">
      <c r="B3518"/>
    </row>
    <row r="3519" spans="1:2" x14ac:dyDescent="0.35">
      <c r="B3519"/>
    </row>
    <row r="3520" spans="1:2" ht="15.5" x14ac:dyDescent="0.35">
      <c r="A3520" s="49"/>
      <c r="B3520" s="49"/>
    </row>
    <row r="3521" spans="1:2" x14ac:dyDescent="0.35">
      <c r="B3521"/>
    </row>
    <row r="3522" spans="1:2" x14ac:dyDescent="0.35">
      <c r="B3522"/>
    </row>
    <row r="3523" spans="1:2" x14ac:dyDescent="0.35">
      <c r="B3523"/>
    </row>
    <row r="3524" spans="1:2" x14ac:dyDescent="0.35">
      <c r="B3524"/>
    </row>
    <row r="3525" spans="1:2" x14ac:dyDescent="0.35">
      <c r="B3525"/>
    </row>
    <row r="3526" spans="1:2" x14ac:dyDescent="0.35">
      <c r="B3526"/>
    </row>
    <row r="3527" spans="1:2" x14ac:dyDescent="0.35">
      <c r="B3527"/>
    </row>
    <row r="3528" spans="1:2" x14ac:dyDescent="0.35">
      <c r="B3528"/>
    </row>
    <row r="3529" spans="1:2" x14ac:dyDescent="0.35">
      <c r="B3529"/>
    </row>
    <row r="3530" spans="1:2" ht="15.5" x14ac:dyDescent="0.35">
      <c r="A3530" s="49"/>
      <c r="B3530"/>
    </row>
    <row r="3531" spans="1:2" x14ac:dyDescent="0.35">
      <c r="B3531"/>
    </row>
    <row r="3532" spans="1:2" x14ac:dyDescent="0.35">
      <c r="B3532"/>
    </row>
    <row r="3533" spans="1:2" x14ac:dyDescent="0.35">
      <c r="B3533"/>
    </row>
    <row r="3534" spans="1:2" x14ac:dyDescent="0.35">
      <c r="B3534"/>
    </row>
    <row r="3535" spans="1:2" x14ac:dyDescent="0.35">
      <c r="B3535"/>
    </row>
    <row r="3536" spans="1:2" x14ac:dyDescent="0.35">
      <c r="B3536"/>
    </row>
    <row r="3537" spans="1:2" x14ac:dyDescent="0.35">
      <c r="B3537"/>
    </row>
    <row r="3538" spans="1:2" x14ac:dyDescent="0.35">
      <c r="B3538"/>
    </row>
    <row r="3539" spans="1:2" ht="15.5" x14ac:dyDescent="0.35">
      <c r="A3539" s="49"/>
      <c r="B3539" s="49"/>
    </row>
    <row r="3540" spans="1:2" x14ac:dyDescent="0.35">
      <c r="B3540"/>
    </row>
    <row r="3541" spans="1:2" x14ac:dyDescent="0.35">
      <c r="B3541"/>
    </row>
    <row r="3542" spans="1:2" x14ac:dyDescent="0.35">
      <c r="B3542"/>
    </row>
    <row r="3543" spans="1:2" x14ac:dyDescent="0.35">
      <c r="B3543"/>
    </row>
    <row r="3544" spans="1:2" x14ac:dyDescent="0.35">
      <c r="B3544"/>
    </row>
    <row r="3545" spans="1:2" x14ac:dyDescent="0.35">
      <c r="B3545"/>
    </row>
    <row r="3546" spans="1:2" x14ac:dyDescent="0.35">
      <c r="B3546"/>
    </row>
    <row r="3547" spans="1:2" x14ac:dyDescent="0.35">
      <c r="B3547"/>
    </row>
    <row r="3548" spans="1:2" x14ac:dyDescent="0.35">
      <c r="B3548"/>
    </row>
    <row r="3549" spans="1:2" ht="15.5" x14ac:dyDescent="0.35">
      <c r="A3549" s="49"/>
      <c r="B3549"/>
    </row>
    <row r="3550" spans="1:2" x14ac:dyDescent="0.35">
      <c r="B3550"/>
    </row>
    <row r="3551" spans="1:2" x14ac:dyDescent="0.35">
      <c r="B3551"/>
    </row>
    <row r="3552" spans="1:2" x14ac:dyDescent="0.35">
      <c r="B3552"/>
    </row>
    <row r="3553" spans="1:2" x14ac:dyDescent="0.35">
      <c r="B3553"/>
    </row>
    <row r="3554" spans="1:2" x14ac:dyDescent="0.35">
      <c r="B3554"/>
    </row>
    <row r="3555" spans="1:2" x14ac:dyDescent="0.35">
      <c r="B3555"/>
    </row>
    <row r="3556" spans="1:2" x14ac:dyDescent="0.35">
      <c r="B3556"/>
    </row>
    <row r="3557" spans="1:2" x14ac:dyDescent="0.35">
      <c r="B3557"/>
    </row>
    <row r="3558" spans="1:2" ht="15.5" x14ac:dyDescent="0.35">
      <c r="A3558" s="49"/>
      <c r="B3558" s="49"/>
    </row>
    <row r="3559" spans="1:2" x14ac:dyDescent="0.35">
      <c r="B3559"/>
    </row>
    <row r="3560" spans="1:2" x14ac:dyDescent="0.35">
      <c r="B3560"/>
    </row>
    <row r="3561" spans="1:2" x14ac:dyDescent="0.35">
      <c r="B3561"/>
    </row>
    <row r="3562" spans="1:2" x14ac:dyDescent="0.35">
      <c r="B3562"/>
    </row>
    <row r="3563" spans="1:2" x14ac:dyDescent="0.35">
      <c r="B3563"/>
    </row>
    <row r="3564" spans="1:2" x14ac:dyDescent="0.35">
      <c r="B3564"/>
    </row>
    <row r="3565" spans="1:2" x14ac:dyDescent="0.35">
      <c r="B3565"/>
    </row>
    <row r="3566" spans="1:2" x14ac:dyDescent="0.35">
      <c r="B3566"/>
    </row>
    <row r="3567" spans="1:2" x14ac:dyDescent="0.35">
      <c r="B3567"/>
    </row>
    <row r="3568" spans="1:2" ht="15.5" x14ac:dyDescent="0.35">
      <c r="A3568" s="49"/>
      <c r="B3568"/>
    </row>
    <row r="3569" spans="1:2" x14ac:dyDescent="0.35">
      <c r="B3569"/>
    </row>
    <row r="3570" spans="1:2" x14ac:dyDescent="0.35">
      <c r="B3570"/>
    </row>
    <row r="3571" spans="1:2" x14ac:dyDescent="0.35">
      <c r="B3571"/>
    </row>
    <row r="3572" spans="1:2" x14ac:dyDescent="0.35">
      <c r="B3572"/>
    </row>
    <row r="3573" spans="1:2" x14ac:dyDescent="0.35">
      <c r="B3573"/>
    </row>
    <row r="3574" spans="1:2" x14ac:dyDescent="0.35">
      <c r="B3574"/>
    </row>
    <row r="3575" spans="1:2" x14ac:dyDescent="0.35">
      <c r="B3575"/>
    </row>
    <row r="3576" spans="1:2" x14ac:dyDescent="0.35">
      <c r="B3576"/>
    </row>
    <row r="3577" spans="1:2" ht="15.5" x14ac:dyDescent="0.35">
      <c r="A3577" s="49"/>
      <c r="B3577" s="49"/>
    </row>
    <row r="3578" spans="1:2" x14ac:dyDescent="0.35">
      <c r="B3578"/>
    </row>
    <row r="3579" spans="1:2" x14ac:dyDescent="0.35">
      <c r="B3579"/>
    </row>
    <row r="3580" spans="1:2" x14ac:dyDescent="0.35">
      <c r="B3580"/>
    </row>
    <row r="3581" spans="1:2" x14ac:dyDescent="0.35">
      <c r="B3581"/>
    </row>
    <row r="3582" spans="1:2" x14ac:dyDescent="0.35">
      <c r="B3582"/>
    </row>
    <row r="3583" spans="1:2" x14ac:dyDescent="0.35">
      <c r="B3583"/>
    </row>
    <row r="3584" spans="1:2" x14ac:dyDescent="0.35">
      <c r="B3584"/>
    </row>
    <row r="3585" spans="1:2" x14ac:dyDescent="0.35">
      <c r="B3585"/>
    </row>
    <row r="3586" spans="1:2" x14ac:dyDescent="0.35">
      <c r="B3586"/>
    </row>
    <row r="3587" spans="1:2" ht="15.5" x14ac:dyDescent="0.35">
      <c r="A3587" s="49"/>
      <c r="B3587"/>
    </row>
    <row r="3588" spans="1:2" x14ac:dyDescent="0.35">
      <c r="B3588"/>
    </row>
    <row r="3589" spans="1:2" x14ac:dyDescent="0.35">
      <c r="B3589"/>
    </row>
    <row r="3590" spans="1:2" x14ac:dyDescent="0.35">
      <c r="B3590"/>
    </row>
    <row r="3591" spans="1:2" x14ac:dyDescent="0.35">
      <c r="B3591"/>
    </row>
    <row r="3592" spans="1:2" x14ac:dyDescent="0.35">
      <c r="B3592"/>
    </row>
    <row r="3593" spans="1:2" x14ac:dyDescent="0.35">
      <c r="B3593"/>
    </row>
    <row r="3594" spans="1:2" x14ac:dyDescent="0.35">
      <c r="B3594"/>
    </row>
    <row r="3595" spans="1:2" x14ac:dyDescent="0.35">
      <c r="B3595"/>
    </row>
    <row r="3596" spans="1:2" ht="15.5" x14ac:dyDescent="0.35">
      <c r="A3596" s="49"/>
      <c r="B3596" s="49"/>
    </row>
    <row r="3597" spans="1:2" x14ac:dyDescent="0.35">
      <c r="B3597"/>
    </row>
    <row r="3598" spans="1:2" x14ac:dyDescent="0.35">
      <c r="B3598"/>
    </row>
    <row r="3599" spans="1:2" x14ac:dyDescent="0.35">
      <c r="B3599"/>
    </row>
    <row r="3600" spans="1:2" x14ac:dyDescent="0.35">
      <c r="B3600"/>
    </row>
    <row r="3601" spans="1:2" x14ac:dyDescent="0.35">
      <c r="B3601"/>
    </row>
    <row r="3602" spans="1:2" x14ac:dyDescent="0.35">
      <c r="B3602"/>
    </row>
    <row r="3603" spans="1:2" x14ac:dyDescent="0.35">
      <c r="B3603"/>
    </row>
    <row r="3604" spans="1:2" x14ac:dyDescent="0.35">
      <c r="B3604"/>
    </row>
    <row r="3605" spans="1:2" x14ac:dyDescent="0.35">
      <c r="B3605"/>
    </row>
    <row r="3606" spans="1:2" ht="15.5" x14ac:dyDescent="0.35">
      <c r="A3606" s="49"/>
      <c r="B3606"/>
    </row>
    <row r="3607" spans="1:2" x14ac:dyDescent="0.35">
      <c r="B3607"/>
    </row>
    <row r="3608" spans="1:2" x14ac:dyDescent="0.35">
      <c r="B3608"/>
    </row>
    <row r="3609" spans="1:2" x14ac:dyDescent="0.35">
      <c r="B3609"/>
    </row>
    <row r="3610" spans="1:2" x14ac:dyDescent="0.35">
      <c r="B3610"/>
    </row>
    <row r="3611" spans="1:2" x14ac:dyDescent="0.35">
      <c r="B3611"/>
    </row>
    <row r="3612" spans="1:2" x14ac:dyDescent="0.35">
      <c r="B3612"/>
    </row>
    <row r="3613" spans="1:2" x14ac:dyDescent="0.35">
      <c r="B3613"/>
    </row>
    <row r="3614" spans="1:2" x14ac:dyDescent="0.35">
      <c r="B3614"/>
    </row>
    <row r="3615" spans="1:2" ht="15.5" x14ac:dyDescent="0.35">
      <c r="A3615" s="49"/>
      <c r="B3615" s="49"/>
    </row>
    <row r="3616" spans="1:2" x14ac:dyDescent="0.35">
      <c r="B3616"/>
    </row>
    <row r="3617" spans="1:2" x14ac:dyDescent="0.35">
      <c r="B3617"/>
    </row>
    <row r="3618" spans="1:2" x14ac:dyDescent="0.35">
      <c r="B3618"/>
    </row>
    <row r="3619" spans="1:2" x14ac:dyDescent="0.35">
      <c r="B3619"/>
    </row>
    <row r="3620" spans="1:2" x14ac:dyDescent="0.35">
      <c r="B3620"/>
    </row>
    <row r="3621" spans="1:2" x14ac:dyDescent="0.35">
      <c r="B3621"/>
    </row>
    <row r="3622" spans="1:2" x14ac:dyDescent="0.35">
      <c r="B3622"/>
    </row>
    <row r="3623" spans="1:2" x14ac:dyDescent="0.35">
      <c r="B3623"/>
    </row>
    <row r="3624" spans="1:2" x14ac:dyDescent="0.35">
      <c r="B3624"/>
    </row>
    <row r="3625" spans="1:2" ht="15.5" x14ac:dyDescent="0.35">
      <c r="A3625" s="49"/>
      <c r="B3625"/>
    </row>
    <row r="3626" spans="1:2" x14ac:dyDescent="0.35">
      <c r="B3626"/>
    </row>
    <row r="3627" spans="1:2" x14ac:dyDescent="0.35">
      <c r="B3627"/>
    </row>
    <row r="3628" spans="1:2" x14ac:dyDescent="0.35">
      <c r="B3628"/>
    </row>
    <row r="3629" spans="1:2" x14ac:dyDescent="0.35">
      <c r="B3629"/>
    </row>
    <row r="3630" spans="1:2" x14ac:dyDescent="0.35">
      <c r="B3630"/>
    </row>
    <row r="3631" spans="1:2" x14ac:dyDescent="0.35">
      <c r="B3631"/>
    </row>
    <row r="3632" spans="1:2" x14ac:dyDescent="0.35">
      <c r="B3632"/>
    </row>
    <row r="3633" spans="1:2" x14ac:dyDescent="0.35">
      <c r="B3633"/>
    </row>
    <row r="3634" spans="1:2" ht="15.5" x14ac:dyDescent="0.35">
      <c r="A3634" s="49"/>
      <c r="B3634" s="49"/>
    </row>
    <row r="3635" spans="1:2" x14ac:dyDescent="0.35">
      <c r="B3635"/>
    </row>
    <row r="3636" spans="1:2" x14ac:dyDescent="0.35">
      <c r="B3636"/>
    </row>
    <row r="3637" spans="1:2" x14ac:dyDescent="0.35">
      <c r="B3637"/>
    </row>
    <row r="3638" spans="1:2" x14ac:dyDescent="0.35">
      <c r="B3638"/>
    </row>
    <row r="3639" spans="1:2" x14ac:dyDescent="0.35">
      <c r="B3639"/>
    </row>
    <row r="3640" spans="1:2" x14ac:dyDescent="0.35">
      <c r="B3640"/>
    </row>
    <row r="3641" spans="1:2" x14ac:dyDescent="0.35">
      <c r="B3641"/>
    </row>
    <row r="3642" spans="1:2" x14ac:dyDescent="0.35">
      <c r="B3642"/>
    </row>
    <row r="3643" spans="1:2" x14ac:dyDescent="0.35">
      <c r="B3643"/>
    </row>
    <row r="3644" spans="1:2" ht="15.5" x14ac:dyDescent="0.35">
      <c r="A3644" s="49"/>
      <c r="B3644"/>
    </row>
    <row r="3645" spans="1:2" x14ac:dyDescent="0.35">
      <c r="B3645"/>
    </row>
    <row r="3646" spans="1:2" x14ac:dyDescent="0.35">
      <c r="B3646"/>
    </row>
    <row r="3647" spans="1:2" x14ac:dyDescent="0.35">
      <c r="B3647"/>
    </row>
    <row r="3648" spans="1:2" x14ac:dyDescent="0.35">
      <c r="B3648"/>
    </row>
    <row r="3649" spans="1:2" x14ac:dyDescent="0.35">
      <c r="B3649"/>
    </row>
    <row r="3650" spans="1:2" x14ac:dyDescent="0.35">
      <c r="B3650"/>
    </row>
    <row r="3651" spans="1:2" x14ac:dyDescent="0.35">
      <c r="B3651"/>
    </row>
    <row r="3652" spans="1:2" x14ac:dyDescent="0.35">
      <c r="B3652"/>
    </row>
    <row r="3653" spans="1:2" ht="15.5" x14ac:dyDescent="0.35">
      <c r="A3653" s="49"/>
      <c r="B3653" s="49"/>
    </row>
    <row r="3654" spans="1:2" x14ac:dyDescent="0.35">
      <c r="B3654"/>
    </row>
    <row r="3655" spans="1:2" x14ac:dyDescent="0.35">
      <c r="B3655"/>
    </row>
    <row r="3656" spans="1:2" x14ac:dyDescent="0.35">
      <c r="B3656"/>
    </row>
    <row r="3657" spans="1:2" x14ac:dyDescent="0.35">
      <c r="B3657"/>
    </row>
    <row r="3658" spans="1:2" x14ac:dyDescent="0.35">
      <c r="B3658"/>
    </row>
    <row r="3659" spans="1:2" x14ac:dyDescent="0.35">
      <c r="B3659"/>
    </row>
    <row r="3660" spans="1:2" x14ac:dyDescent="0.35">
      <c r="B3660"/>
    </row>
    <row r="3661" spans="1:2" x14ac:dyDescent="0.35">
      <c r="B3661"/>
    </row>
    <row r="3662" spans="1:2" x14ac:dyDescent="0.35">
      <c r="B3662"/>
    </row>
    <row r="3663" spans="1:2" ht="15.5" x14ac:dyDescent="0.35">
      <c r="A3663" s="49"/>
      <c r="B3663"/>
    </row>
    <row r="3664" spans="1:2" x14ac:dyDescent="0.35">
      <c r="B3664"/>
    </row>
    <row r="3665" spans="1:2" x14ac:dyDescent="0.35">
      <c r="B3665"/>
    </row>
    <row r="3666" spans="1:2" x14ac:dyDescent="0.35">
      <c r="B3666"/>
    </row>
    <row r="3667" spans="1:2" x14ac:dyDescent="0.35">
      <c r="B3667"/>
    </row>
    <row r="3668" spans="1:2" x14ac:dyDescent="0.35">
      <c r="B3668"/>
    </row>
    <row r="3669" spans="1:2" x14ac:dyDescent="0.35">
      <c r="B3669"/>
    </row>
    <row r="3670" spans="1:2" x14ac:dyDescent="0.35">
      <c r="B3670"/>
    </row>
    <row r="3671" spans="1:2" x14ac:dyDescent="0.35">
      <c r="B3671"/>
    </row>
    <row r="3672" spans="1:2" ht="15.5" x14ac:dyDescent="0.35">
      <c r="A3672" s="49"/>
      <c r="B3672" s="49"/>
    </row>
    <row r="3673" spans="1:2" x14ac:dyDescent="0.35">
      <c r="B3673"/>
    </row>
    <row r="3674" spans="1:2" x14ac:dyDescent="0.35">
      <c r="B3674"/>
    </row>
    <row r="3675" spans="1:2" x14ac:dyDescent="0.35">
      <c r="B3675"/>
    </row>
    <row r="3676" spans="1:2" x14ac:dyDescent="0.35">
      <c r="B3676"/>
    </row>
    <row r="3677" spans="1:2" x14ac:dyDescent="0.35">
      <c r="B3677"/>
    </row>
    <row r="3678" spans="1:2" x14ac:dyDescent="0.35">
      <c r="B3678"/>
    </row>
    <row r="3679" spans="1:2" x14ac:dyDescent="0.35">
      <c r="B3679"/>
    </row>
    <row r="3680" spans="1:2" x14ac:dyDescent="0.35">
      <c r="B3680"/>
    </row>
    <row r="3681" spans="1:2" x14ac:dyDescent="0.35">
      <c r="B3681"/>
    </row>
    <row r="3682" spans="1:2" ht="15.5" x14ac:dyDescent="0.35">
      <c r="A3682" s="49"/>
      <c r="B3682"/>
    </row>
    <row r="3683" spans="1:2" x14ac:dyDescent="0.35">
      <c r="B3683"/>
    </row>
    <row r="3684" spans="1:2" x14ac:dyDescent="0.35">
      <c r="B3684"/>
    </row>
    <row r="3685" spans="1:2" x14ac:dyDescent="0.35">
      <c r="B3685"/>
    </row>
    <row r="3686" spans="1:2" x14ac:dyDescent="0.35">
      <c r="B3686"/>
    </row>
    <row r="3687" spans="1:2" x14ac:dyDescent="0.35">
      <c r="B3687"/>
    </row>
    <row r="3688" spans="1:2" x14ac:dyDescent="0.35">
      <c r="B3688"/>
    </row>
    <row r="3689" spans="1:2" x14ac:dyDescent="0.35">
      <c r="B3689"/>
    </row>
    <row r="3690" spans="1:2" x14ac:dyDescent="0.35">
      <c r="B3690"/>
    </row>
    <row r="3691" spans="1:2" ht="15.5" x14ac:dyDescent="0.35">
      <c r="A3691" s="49"/>
      <c r="B3691" s="49"/>
    </row>
    <row r="3692" spans="1:2" x14ac:dyDescent="0.35">
      <c r="B3692"/>
    </row>
    <row r="3693" spans="1:2" x14ac:dyDescent="0.35">
      <c r="B3693"/>
    </row>
    <row r="3694" spans="1:2" x14ac:dyDescent="0.35">
      <c r="B3694"/>
    </row>
    <row r="3695" spans="1:2" x14ac:dyDescent="0.35">
      <c r="B3695"/>
    </row>
    <row r="3696" spans="1:2" x14ac:dyDescent="0.35">
      <c r="B3696"/>
    </row>
    <row r="3697" spans="1:2" x14ac:dyDescent="0.35">
      <c r="B3697"/>
    </row>
    <row r="3698" spans="1:2" x14ac:dyDescent="0.35">
      <c r="B3698"/>
    </row>
    <row r="3699" spans="1:2" x14ac:dyDescent="0.35">
      <c r="B3699"/>
    </row>
    <row r="3700" spans="1:2" x14ac:dyDescent="0.35">
      <c r="B3700"/>
    </row>
    <row r="3701" spans="1:2" ht="15.5" x14ac:dyDescent="0.35">
      <c r="A3701" s="49"/>
      <c r="B3701"/>
    </row>
    <row r="3702" spans="1:2" x14ac:dyDescent="0.35">
      <c r="B3702"/>
    </row>
    <row r="3703" spans="1:2" x14ac:dyDescent="0.35">
      <c r="B3703"/>
    </row>
    <row r="3704" spans="1:2" x14ac:dyDescent="0.35">
      <c r="B3704"/>
    </row>
    <row r="3705" spans="1:2" x14ac:dyDescent="0.35">
      <c r="B3705"/>
    </row>
    <row r="3706" spans="1:2" x14ac:dyDescent="0.35">
      <c r="B3706"/>
    </row>
    <row r="3707" spans="1:2" x14ac:dyDescent="0.35">
      <c r="B3707"/>
    </row>
    <row r="3708" spans="1:2" x14ac:dyDescent="0.35">
      <c r="B3708"/>
    </row>
    <row r="3709" spans="1:2" x14ac:dyDescent="0.35">
      <c r="B3709"/>
    </row>
    <row r="3710" spans="1:2" ht="15.5" x14ac:dyDescent="0.35">
      <c r="A3710" s="49"/>
      <c r="B3710" s="49"/>
    </row>
    <row r="3711" spans="1:2" x14ac:dyDescent="0.35">
      <c r="B3711"/>
    </row>
    <row r="3712" spans="1:2" x14ac:dyDescent="0.35">
      <c r="B3712"/>
    </row>
    <row r="3713" spans="1:2" x14ac:dyDescent="0.35">
      <c r="B3713"/>
    </row>
    <row r="3714" spans="1:2" x14ac:dyDescent="0.35">
      <c r="B3714"/>
    </row>
    <row r="3715" spans="1:2" x14ac:dyDescent="0.35">
      <c r="B3715"/>
    </row>
    <row r="3716" spans="1:2" x14ac:dyDescent="0.35">
      <c r="B3716"/>
    </row>
    <row r="3717" spans="1:2" x14ac:dyDescent="0.35">
      <c r="B3717"/>
    </row>
    <row r="3718" spans="1:2" x14ac:dyDescent="0.35">
      <c r="B3718"/>
    </row>
    <row r="3719" spans="1:2" x14ac:dyDescent="0.35">
      <c r="B3719"/>
    </row>
    <row r="3720" spans="1:2" ht="15.5" x14ac:dyDescent="0.35">
      <c r="A3720" s="49"/>
      <c r="B3720"/>
    </row>
    <row r="3721" spans="1:2" x14ac:dyDescent="0.35">
      <c r="B3721"/>
    </row>
    <row r="3722" spans="1:2" x14ac:dyDescent="0.35">
      <c r="B3722"/>
    </row>
    <row r="3723" spans="1:2" x14ac:dyDescent="0.35">
      <c r="B3723"/>
    </row>
    <row r="3724" spans="1:2" x14ac:dyDescent="0.35">
      <c r="B3724"/>
    </row>
    <row r="3725" spans="1:2" x14ac:dyDescent="0.35">
      <c r="B3725"/>
    </row>
    <row r="3726" spans="1:2" x14ac:dyDescent="0.35">
      <c r="B3726"/>
    </row>
    <row r="3727" spans="1:2" x14ac:dyDescent="0.35">
      <c r="B3727"/>
    </row>
    <row r="3728" spans="1:2" x14ac:dyDescent="0.35">
      <c r="B3728"/>
    </row>
    <row r="3729" spans="1:2" ht="15.5" x14ac:dyDescent="0.35">
      <c r="A3729" s="49"/>
      <c r="B3729" s="49"/>
    </row>
    <row r="3730" spans="1:2" x14ac:dyDescent="0.35">
      <c r="B3730"/>
    </row>
    <row r="3731" spans="1:2" x14ac:dyDescent="0.35">
      <c r="B3731"/>
    </row>
    <row r="3732" spans="1:2" x14ac:dyDescent="0.35">
      <c r="B3732"/>
    </row>
    <row r="3733" spans="1:2" x14ac:dyDescent="0.35">
      <c r="B3733"/>
    </row>
    <row r="3734" spans="1:2" x14ac:dyDescent="0.35">
      <c r="B3734"/>
    </row>
    <row r="3735" spans="1:2" x14ac:dyDescent="0.35">
      <c r="B3735"/>
    </row>
    <row r="3736" spans="1:2" x14ac:dyDescent="0.35">
      <c r="B3736"/>
    </row>
    <row r="3737" spans="1:2" x14ac:dyDescent="0.35">
      <c r="B3737"/>
    </row>
    <row r="3738" spans="1:2" x14ac:dyDescent="0.35">
      <c r="B3738"/>
    </row>
    <row r="3739" spans="1:2" ht="15.5" x14ac:dyDescent="0.35">
      <c r="A3739" s="49"/>
      <c r="B3739"/>
    </row>
    <row r="3740" spans="1:2" x14ac:dyDescent="0.35">
      <c r="B3740"/>
    </row>
    <row r="3741" spans="1:2" x14ac:dyDescent="0.35">
      <c r="B3741"/>
    </row>
    <row r="3742" spans="1:2" x14ac:dyDescent="0.35">
      <c r="B3742"/>
    </row>
    <row r="3743" spans="1:2" x14ac:dyDescent="0.35">
      <c r="B3743"/>
    </row>
    <row r="3744" spans="1:2" x14ac:dyDescent="0.35">
      <c r="B3744"/>
    </row>
    <row r="3745" spans="1:2" x14ac:dyDescent="0.35">
      <c r="B3745"/>
    </row>
    <row r="3746" spans="1:2" x14ac:dyDescent="0.35">
      <c r="B3746"/>
    </row>
    <row r="3747" spans="1:2" x14ac:dyDescent="0.35">
      <c r="B3747"/>
    </row>
    <row r="3748" spans="1:2" ht="15.5" x14ac:dyDescent="0.35">
      <c r="A3748" s="49"/>
      <c r="B3748" s="49"/>
    </row>
    <row r="3749" spans="1:2" x14ac:dyDescent="0.35">
      <c r="B3749"/>
    </row>
    <row r="3750" spans="1:2" x14ac:dyDescent="0.35">
      <c r="B3750"/>
    </row>
    <row r="3751" spans="1:2" x14ac:dyDescent="0.35">
      <c r="B3751"/>
    </row>
    <row r="3752" spans="1:2" x14ac:dyDescent="0.35">
      <c r="B3752"/>
    </row>
    <row r="3753" spans="1:2" x14ac:dyDescent="0.35">
      <c r="B3753"/>
    </row>
    <row r="3754" spans="1:2" x14ac:dyDescent="0.35">
      <c r="B3754"/>
    </row>
    <row r="3755" spans="1:2" x14ac:dyDescent="0.35">
      <c r="B3755"/>
    </row>
    <row r="3756" spans="1:2" x14ac:dyDescent="0.35">
      <c r="B3756"/>
    </row>
    <row r="3757" spans="1:2" x14ac:dyDescent="0.35">
      <c r="B3757"/>
    </row>
    <row r="3758" spans="1:2" ht="15.5" x14ac:dyDescent="0.35">
      <c r="A3758" s="49"/>
      <c r="B3758"/>
    </row>
    <row r="3759" spans="1:2" x14ac:dyDescent="0.35">
      <c r="B3759"/>
    </row>
    <row r="3760" spans="1:2" x14ac:dyDescent="0.35">
      <c r="B3760"/>
    </row>
    <row r="3761" spans="1:2" x14ac:dyDescent="0.35">
      <c r="B3761"/>
    </row>
    <row r="3762" spans="1:2" x14ac:dyDescent="0.35">
      <c r="B3762"/>
    </row>
    <row r="3763" spans="1:2" x14ac:dyDescent="0.35">
      <c r="B3763"/>
    </row>
    <row r="3764" spans="1:2" x14ac:dyDescent="0.35">
      <c r="B3764"/>
    </row>
    <row r="3765" spans="1:2" x14ac:dyDescent="0.35">
      <c r="B3765"/>
    </row>
    <row r="3766" spans="1:2" x14ac:dyDescent="0.35">
      <c r="B3766"/>
    </row>
    <row r="3767" spans="1:2" x14ac:dyDescent="0.35">
      <c r="B3767"/>
    </row>
    <row r="3768" spans="1:2" x14ac:dyDescent="0.35">
      <c r="B3768"/>
    </row>
    <row r="3769" spans="1:2" x14ac:dyDescent="0.35">
      <c r="B3769"/>
    </row>
    <row r="3770" spans="1:2" x14ac:dyDescent="0.35">
      <c r="B3770"/>
    </row>
    <row r="3771" spans="1:2" x14ac:dyDescent="0.35">
      <c r="B3771"/>
    </row>
    <row r="3772" spans="1:2" ht="15.5" x14ac:dyDescent="0.35">
      <c r="A3772" s="49"/>
      <c r="B3772" s="49"/>
    </row>
    <row r="3773" spans="1:2" x14ac:dyDescent="0.35">
      <c r="B3773"/>
    </row>
    <row r="3774" spans="1:2" x14ac:dyDescent="0.35">
      <c r="B3774"/>
    </row>
    <row r="3775" spans="1:2" x14ac:dyDescent="0.35">
      <c r="B3775"/>
    </row>
    <row r="3776" spans="1:2" x14ac:dyDescent="0.35">
      <c r="B3776"/>
    </row>
    <row r="3777" spans="1:2" x14ac:dyDescent="0.35">
      <c r="B3777"/>
    </row>
    <row r="3778" spans="1:2" x14ac:dyDescent="0.35">
      <c r="B3778"/>
    </row>
    <row r="3779" spans="1:2" x14ac:dyDescent="0.35">
      <c r="B3779"/>
    </row>
    <row r="3780" spans="1:2" x14ac:dyDescent="0.35">
      <c r="B3780"/>
    </row>
    <row r="3781" spans="1:2" x14ac:dyDescent="0.35">
      <c r="B3781"/>
    </row>
    <row r="3782" spans="1:2" ht="15.5" x14ac:dyDescent="0.35">
      <c r="A3782" s="49"/>
      <c r="B3782"/>
    </row>
    <row r="3783" spans="1:2" x14ac:dyDescent="0.35">
      <c r="B3783"/>
    </row>
    <row r="3784" spans="1:2" x14ac:dyDescent="0.35">
      <c r="B3784"/>
    </row>
    <row r="3785" spans="1:2" x14ac:dyDescent="0.35">
      <c r="B3785"/>
    </row>
    <row r="3786" spans="1:2" x14ac:dyDescent="0.35">
      <c r="B3786"/>
    </row>
    <row r="3787" spans="1:2" x14ac:dyDescent="0.35">
      <c r="B3787"/>
    </row>
    <row r="3788" spans="1:2" x14ac:dyDescent="0.35">
      <c r="B3788"/>
    </row>
    <row r="3789" spans="1:2" x14ac:dyDescent="0.35">
      <c r="B3789"/>
    </row>
    <row r="3790" spans="1:2" x14ac:dyDescent="0.35">
      <c r="B3790"/>
    </row>
    <row r="3791" spans="1:2" x14ac:dyDescent="0.35">
      <c r="B3791"/>
    </row>
    <row r="3792" spans="1:2" x14ac:dyDescent="0.35">
      <c r="B3792"/>
    </row>
    <row r="3793" spans="1:2" x14ac:dyDescent="0.35">
      <c r="B3793"/>
    </row>
    <row r="3794" spans="1:2" x14ac:dyDescent="0.35">
      <c r="B3794"/>
    </row>
    <row r="3795" spans="1:2" x14ac:dyDescent="0.35">
      <c r="B3795"/>
    </row>
    <row r="3796" spans="1:2" x14ac:dyDescent="0.35">
      <c r="B3796"/>
    </row>
    <row r="3797" spans="1:2" x14ac:dyDescent="0.35">
      <c r="B3797"/>
    </row>
    <row r="3798" spans="1:2" x14ac:dyDescent="0.35">
      <c r="B3798"/>
    </row>
    <row r="3799" spans="1:2" x14ac:dyDescent="0.35">
      <c r="B3799"/>
    </row>
    <row r="3800" spans="1:2" x14ac:dyDescent="0.35">
      <c r="B3800"/>
    </row>
    <row r="3801" spans="1:2" x14ac:dyDescent="0.35">
      <c r="B3801"/>
    </row>
    <row r="3802" spans="1:2" ht="15.5" x14ac:dyDescent="0.35">
      <c r="A3802" s="49"/>
      <c r="B3802" s="49"/>
    </row>
    <row r="3803" spans="1:2" x14ac:dyDescent="0.35">
      <c r="B3803"/>
    </row>
    <row r="3804" spans="1:2" x14ac:dyDescent="0.35">
      <c r="B3804"/>
    </row>
    <row r="3805" spans="1:2" x14ac:dyDescent="0.35">
      <c r="B3805"/>
    </row>
    <row r="3806" spans="1:2" x14ac:dyDescent="0.35">
      <c r="B3806"/>
    </row>
    <row r="3807" spans="1:2" x14ac:dyDescent="0.35">
      <c r="B3807"/>
    </row>
    <row r="3808" spans="1:2" x14ac:dyDescent="0.35">
      <c r="B3808"/>
    </row>
    <row r="3809" spans="1:2" x14ac:dyDescent="0.35">
      <c r="B3809"/>
    </row>
    <row r="3810" spans="1:2" x14ac:dyDescent="0.35">
      <c r="B3810"/>
    </row>
    <row r="3811" spans="1:2" x14ac:dyDescent="0.35">
      <c r="B3811"/>
    </row>
    <row r="3812" spans="1:2" ht="15.5" x14ac:dyDescent="0.35">
      <c r="A3812" s="49"/>
      <c r="B3812"/>
    </row>
    <row r="3813" spans="1:2" x14ac:dyDescent="0.35">
      <c r="B3813"/>
    </row>
    <row r="3814" spans="1:2" x14ac:dyDescent="0.35">
      <c r="B3814"/>
    </row>
    <row r="3815" spans="1:2" x14ac:dyDescent="0.35">
      <c r="B3815"/>
    </row>
    <row r="3816" spans="1:2" x14ac:dyDescent="0.35">
      <c r="B3816"/>
    </row>
    <row r="3817" spans="1:2" x14ac:dyDescent="0.35">
      <c r="B3817"/>
    </row>
    <row r="3818" spans="1:2" x14ac:dyDescent="0.35">
      <c r="B3818"/>
    </row>
    <row r="3819" spans="1:2" x14ac:dyDescent="0.35">
      <c r="B3819"/>
    </row>
    <row r="3820" spans="1:2" x14ac:dyDescent="0.35">
      <c r="B3820"/>
    </row>
    <row r="3821" spans="1:2" x14ac:dyDescent="0.35">
      <c r="B3821"/>
    </row>
    <row r="3822" spans="1:2" x14ac:dyDescent="0.35">
      <c r="B3822"/>
    </row>
    <row r="3823" spans="1:2" x14ac:dyDescent="0.35">
      <c r="B3823"/>
    </row>
    <row r="3824" spans="1:2" x14ac:dyDescent="0.35">
      <c r="B3824"/>
    </row>
    <row r="3825" spans="1:2" x14ac:dyDescent="0.35">
      <c r="B3825"/>
    </row>
    <row r="3826" spans="1:2" ht="15.5" x14ac:dyDescent="0.35">
      <c r="A3826" s="49"/>
      <c r="B3826" s="49"/>
    </row>
    <row r="3827" spans="1:2" x14ac:dyDescent="0.35">
      <c r="B3827"/>
    </row>
    <row r="3828" spans="1:2" x14ac:dyDescent="0.35">
      <c r="B3828"/>
    </row>
    <row r="3829" spans="1:2" x14ac:dyDescent="0.35">
      <c r="B3829"/>
    </row>
    <row r="3830" spans="1:2" x14ac:dyDescent="0.35">
      <c r="B3830"/>
    </row>
    <row r="3831" spans="1:2" x14ac:dyDescent="0.35">
      <c r="B3831"/>
    </row>
    <row r="3832" spans="1:2" x14ac:dyDescent="0.35">
      <c r="B3832"/>
    </row>
    <row r="3833" spans="1:2" x14ac:dyDescent="0.35">
      <c r="B3833"/>
    </row>
    <row r="3834" spans="1:2" x14ac:dyDescent="0.35">
      <c r="B3834"/>
    </row>
    <row r="3835" spans="1:2" x14ac:dyDescent="0.35">
      <c r="B3835"/>
    </row>
    <row r="3836" spans="1:2" ht="15.5" x14ac:dyDescent="0.35">
      <c r="A3836" s="49"/>
      <c r="B3836"/>
    </row>
    <row r="3837" spans="1:2" x14ac:dyDescent="0.35">
      <c r="B3837"/>
    </row>
    <row r="3838" spans="1:2" x14ac:dyDescent="0.35">
      <c r="B3838"/>
    </row>
    <row r="3839" spans="1:2" x14ac:dyDescent="0.35">
      <c r="B3839"/>
    </row>
    <row r="3840" spans="1:2" x14ac:dyDescent="0.35">
      <c r="B3840"/>
    </row>
    <row r="3841" spans="1:2" x14ac:dyDescent="0.35">
      <c r="B3841"/>
    </row>
    <row r="3842" spans="1:2" x14ac:dyDescent="0.35">
      <c r="B3842"/>
    </row>
    <row r="3843" spans="1:2" x14ac:dyDescent="0.35">
      <c r="B3843"/>
    </row>
    <row r="3844" spans="1:2" x14ac:dyDescent="0.35">
      <c r="B3844"/>
    </row>
    <row r="3845" spans="1:2" x14ac:dyDescent="0.35">
      <c r="B3845"/>
    </row>
    <row r="3846" spans="1:2" x14ac:dyDescent="0.35">
      <c r="B3846"/>
    </row>
    <row r="3847" spans="1:2" x14ac:dyDescent="0.35">
      <c r="B3847"/>
    </row>
    <row r="3848" spans="1:2" x14ac:dyDescent="0.35">
      <c r="B3848"/>
    </row>
    <row r="3849" spans="1:2" x14ac:dyDescent="0.35">
      <c r="B3849"/>
    </row>
    <row r="3850" spans="1:2" x14ac:dyDescent="0.35">
      <c r="B3850"/>
    </row>
    <row r="3851" spans="1:2" x14ac:dyDescent="0.35">
      <c r="B3851"/>
    </row>
    <row r="3852" spans="1:2" ht="15.5" x14ac:dyDescent="0.35">
      <c r="A3852" s="49"/>
      <c r="B3852" s="49"/>
    </row>
    <row r="3853" spans="1:2" x14ac:dyDescent="0.35">
      <c r="B3853"/>
    </row>
    <row r="3854" spans="1:2" x14ac:dyDescent="0.35">
      <c r="B3854"/>
    </row>
    <row r="3855" spans="1:2" x14ac:dyDescent="0.35">
      <c r="B3855"/>
    </row>
    <row r="3856" spans="1:2" x14ac:dyDescent="0.35">
      <c r="B3856"/>
    </row>
    <row r="3857" spans="1:2" x14ac:dyDescent="0.35">
      <c r="B3857"/>
    </row>
    <row r="3858" spans="1:2" x14ac:dyDescent="0.35">
      <c r="B3858"/>
    </row>
    <row r="3859" spans="1:2" x14ac:dyDescent="0.35">
      <c r="B3859"/>
    </row>
    <row r="3860" spans="1:2" x14ac:dyDescent="0.35">
      <c r="B3860"/>
    </row>
    <row r="3861" spans="1:2" x14ac:dyDescent="0.35">
      <c r="B3861"/>
    </row>
    <row r="3862" spans="1:2" ht="15.5" x14ac:dyDescent="0.35">
      <c r="A3862" s="49"/>
      <c r="B3862"/>
    </row>
    <row r="3863" spans="1:2" x14ac:dyDescent="0.35">
      <c r="B3863"/>
    </row>
    <row r="3864" spans="1:2" x14ac:dyDescent="0.35">
      <c r="B3864"/>
    </row>
    <row r="3865" spans="1:2" x14ac:dyDescent="0.35">
      <c r="B3865"/>
    </row>
    <row r="3866" spans="1:2" x14ac:dyDescent="0.35">
      <c r="B3866"/>
    </row>
    <row r="3867" spans="1:2" x14ac:dyDescent="0.35">
      <c r="B3867"/>
    </row>
    <row r="3868" spans="1:2" x14ac:dyDescent="0.35">
      <c r="B3868"/>
    </row>
    <row r="3869" spans="1:2" x14ac:dyDescent="0.35">
      <c r="B3869"/>
    </row>
    <row r="3870" spans="1:2" x14ac:dyDescent="0.35">
      <c r="B3870"/>
    </row>
    <row r="3871" spans="1:2" x14ac:dyDescent="0.35">
      <c r="B3871"/>
    </row>
    <row r="3872" spans="1:2" ht="15.5" x14ac:dyDescent="0.35">
      <c r="A3872" s="49"/>
      <c r="B3872" s="49"/>
    </row>
    <row r="3873" spans="1:2" x14ac:dyDescent="0.35">
      <c r="B3873"/>
    </row>
    <row r="3874" spans="1:2" x14ac:dyDescent="0.35">
      <c r="B3874"/>
    </row>
    <row r="3875" spans="1:2" x14ac:dyDescent="0.35">
      <c r="B3875"/>
    </row>
    <row r="3876" spans="1:2" x14ac:dyDescent="0.35">
      <c r="B3876"/>
    </row>
    <row r="3877" spans="1:2" x14ac:dyDescent="0.35">
      <c r="B3877"/>
    </row>
    <row r="3878" spans="1:2" x14ac:dyDescent="0.35">
      <c r="B3878"/>
    </row>
    <row r="3879" spans="1:2" x14ac:dyDescent="0.35">
      <c r="B3879"/>
    </row>
    <row r="3880" spans="1:2" x14ac:dyDescent="0.35">
      <c r="B3880"/>
    </row>
    <row r="3881" spans="1:2" x14ac:dyDescent="0.35">
      <c r="B3881"/>
    </row>
    <row r="3882" spans="1:2" ht="15.5" x14ac:dyDescent="0.35">
      <c r="A3882" s="49"/>
      <c r="B3882"/>
    </row>
    <row r="3883" spans="1:2" x14ac:dyDescent="0.35">
      <c r="B3883"/>
    </row>
    <row r="3884" spans="1:2" x14ac:dyDescent="0.35">
      <c r="B3884"/>
    </row>
    <row r="3885" spans="1:2" x14ac:dyDescent="0.35">
      <c r="B3885"/>
    </row>
    <row r="3886" spans="1:2" x14ac:dyDescent="0.35">
      <c r="B3886"/>
    </row>
    <row r="3887" spans="1:2" x14ac:dyDescent="0.35">
      <c r="B3887"/>
    </row>
    <row r="3888" spans="1:2" x14ac:dyDescent="0.35">
      <c r="B3888"/>
    </row>
    <row r="3889" spans="1:2" x14ac:dyDescent="0.35">
      <c r="B3889"/>
    </row>
    <row r="3890" spans="1:2" x14ac:dyDescent="0.35">
      <c r="B3890"/>
    </row>
    <row r="3891" spans="1:2" x14ac:dyDescent="0.35">
      <c r="B3891"/>
    </row>
    <row r="3892" spans="1:2" x14ac:dyDescent="0.35">
      <c r="B3892"/>
    </row>
    <row r="3893" spans="1:2" x14ac:dyDescent="0.35">
      <c r="B3893"/>
    </row>
    <row r="3894" spans="1:2" x14ac:dyDescent="0.35">
      <c r="B3894"/>
    </row>
    <row r="3895" spans="1:2" ht="15.5" x14ac:dyDescent="0.35">
      <c r="A3895" s="49"/>
      <c r="B3895" s="49"/>
    </row>
    <row r="3896" spans="1:2" x14ac:dyDescent="0.35">
      <c r="B3896"/>
    </row>
    <row r="3897" spans="1:2" x14ac:dyDescent="0.35">
      <c r="B3897"/>
    </row>
    <row r="3898" spans="1:2" x14ac:dyDescent="0.35">
      <c r="B3898"/>
    </row>
    <row r="3899" spans="1:2" x14ac:dyDescent="0.35">
      <c r="B3899"/>
    </row>
    <row r="3900" spans="1:2" x14ac:dyDescent="0.35">
      <c r="B3900"/>
    </row>
    <row r="3901" spans="1:2" x14ac:dyDescent="0.35">
      <c r="B3901"/>
    </row>
    <row r="3902" spans="1:2" x14ac:dyDescent="0.35">
      <c r="B3902"/>
    </row>
    <row r="3903" spans="1:2" x14ac:dyDescent="0.35">
      <c r="B3903"/>
    </row>
    <row r="3904" spans="1:2" x14ac:dyDescent="0.35">
      <c r="B3904"/>
    </row>
    <row r="3905" spans="1:2" ht="15.5" x14ac:dyDescent="0.35">
      <c r="A3905" s="49"/>
      <c r="B3905"/>
    </row>
    <row r="3906" spans="1:2" x14ac:dyDescent="0.35">
      <c r="B3906"/>
    </row>
    <row r="3907" spans="1:2" x14ac:dyDescent="0.35">
      <c r="B3907"/>
    </row>
    <row r="3908" spans="1:2" x14ac:dyDescent="0.35">
      <c r="B3908"/>
    </row>
    <row r="3909" spans="1:2" x14ac:dyDescent="0.35">
      <c r="B3909"/>
    </row>
    <row r="3910" spans="1:2" x14ac:dyDescent="0.35">
      <c r="B3910"/>
    </row>
    <row r="3911" spans="1:2" x14ac:dyDescent="0.35">
      <c r="B3911"/>
    </row>
    <row r="3912" spans="1:2" x14ac:dyDescent="0.35">
      <c r="B3912"/>
    </row>
    <row r="3913" spans="1:2" x14ac:dyDescent="0.35">
      <c r="B3913"/>
    </row>
    <row r="3914" spans="1:2" x14ac:dyDescent="0.35">
      <c r="B3914"/>
    </row>
    <row r="3915" spans="1:2" x14ac:dyDescent="0.35">
      <c r="B3915"/>
    </row>
    <row r="3916" spans="1:2" x14ac:dyDescent="0.35">
      <c r="B3916"/>
    </row>
    <row r="3917" spans="1:2" x14ac:dyDescent="0.35">
      <c r="B3917"/>
    </row>
    <row r="3918" spans="1:2" x14ac:dyDescent="0.35">
      <c r="B3918"/>
    </row>
    <row r="3919" spans="1:2" x14ac:dyDescent="0.35">
      <c r="B3919"/>
    </row>
    <row r="3920" spans="1:2" x14ac:dyDescent="0.35">
      <c r="B3920"/>
    </row>
    <row r="3921" spans="2:2" x14ac:dyDescent="0.35">
      <c r="B3921"/>
    </row>
    <row r="3922" spans="2:2" x14ac:dyDescent="0.35">
      <c r="B3922"/>
    </row>
    <row r="3923" spans="2:2" x14ac:dyDescent="0.35">
      <c r="B3923"/>
    </row>
    <row r="3924" spans="2:2" x14ac:dyDescent="0.35">
      <c r="B3924"/>
    </row>
    <row r="3925" spans="2:2" x14ac:dyDescent="0.35">
      <c r="B3925"/>
    </row>
    <row r="3926" spans="2:2" x14ac:dyDescent="0.35">
      <c r="B3926"/>
    </row>
    <row r="3927" spans="2:2" x14ac:dyDescent="0.35">
      <c r="B3927"/>
    </row>
    <row r="3928" spans="2:2" x14ac:dyDescent="0.35">
      <c r="B3928"/>
    </row>
    <row r="3929" spans="2:2" x14ac:dyDescent="0.35">
      <c r="B3929"/>
    </row>
    <row r="3930" spans="2:2" x14ac:dyDescent="0.35">
      <c r="B3930"/>
    </row>
    <row r="3931" spans="2:2" x14ac:dyDescent="0.35">
      <c r="B3931"/>
    </row>
    <row r="3932" spans="2:2" x14ac:dyDescent="0.35">
      <c r="B3932"/>
    </row>
    <row r="3933" spans="2:2" x14ac:dyDescent="0.35">
      <c r="B3933"/>
    </row>
    <row r="3934" spans="2:2" x14ac:dyDescent="0.35">
      <c r="B3934"/>
    </row>
    <row r="3935" spans="2:2" x14ac:dyDescent="0.35">
      <c r="B3935"/>
    </row>
    <row r="3936" spans="2:2" x14ac:dyDescent="0.35">
      <c r="B3936"/>
    </row>
    <row r="3937" spans="2:2" x14ac:dyDescent="0.35">
      <c r="B3937"/>
    </row>
    <row r="3938" spans="2:2" x14ac:dyDescent="0.35">
      <c r="B3938"/>
    </row>
    <row r="3939" spans="2:2" x14ac:dyDescent="0.35">
      <c r="B3939"/>
    </row>
    <row r="3940" spans="2:2" x14ac:dyDescent="0.35">
      <c r="B3940"/>
    </row>
    <row r="3941" spans="2:2" x14ac:dyDescent="0.35">
      <c r="B3941"/>
    </row>
    <row r="3942" spans="2:2" x14ac:dyDescent="0.35">
      <c r="B3942"/>
    </row>
    <row r="3943" spans="2:2" x14ac:dyDescent="0.35">
      <c r="B3943"/>
    </row>
    <row r="3944" spans="2:2" x14ac:dyDescent="0.35">
      <c r="B3944"/>
    </row>
    <row r="3945" spans="2:2" x14ac:dyDescent="0.35">
      <c r="B3945"/>
    </row>
    <row r="3946" spans="2:2" x14ac:dyDescent="0.35">
      <c r="B3946"/>
    </row>
    <row r="3947" spans="2:2" x14ac:dyDescent="0.35">
      <c r="B3947"/>
    </row>
    <row r="3948" spans="2:2" x14ac:dyDescent="0.35">
      <c r="B3948"/>
    </row>
    <row r="3949" spans="2:2" x14ac:dyDescent="0.35">
      <c r="B3949"/>
    </row>
    <row r="3950" spans="2:2" x14ac:dyDescent="0.35">
      <c r="B3950"/>
    </row>
    <row r="3951" spans="2:2" x14ac:dyDescent="0.35">
      <c r="B3951"/>
    </row>
    <row r="3952" spans="2:2" x14ac:dyDescent="0.35">
      <c r="B3952"/>
    </row>
    <row r="3953" spans="1:2" x14ac:dyDescent="0.35">
      <c r="B3953"/>
    </row>
    <row r="3954" spans="1:2" x14ac:dyDescent="0.35">
      <c r="B3954"/>
    </row>
    <row r="3955" spans="1:2" x14ac:dyDescent="0.35">
      <c r="B3955"/>
    </row>
    <row r="3956" spans="1:2" x14ac:dyDescent="0.35">
      <c r="B3956"/>
    </row>
    <row r="3957" spans="1:2" x14ac:dyDescent="0.35">
      <c r="B3957"/>
    </row>
    <row r="3958" spans="1:2" x14ac:dyDescent="0.35">
      <c r="B3958"/>
    </row>
    <row r="3959" spans="1:2" x14ac:dyDescent="0.35">
      <c r="B3959"/>
    </row>
    <row r="3960" spans="1:2" x14ac:dyDescent="0.35">
      <c r="B3960"/>
    </row>
    <row r="3961" spans="1:2" x14ac:dyDescent="0.35">
      <c r="B3961"/>
    </row>
    <row r="3962" spans="1:2" x14ac:dyDescent="0.35">
      <c r="B3962"/>
    </row>
    <row r="3963" spans="1:2" x14ac:dyDescent="0.35">
      <c r="B3963"/>
    </row>
    <row r="3964" spans="1:2" x14ac:dyDescent="0.35">
      <c r="B3964"/>
    </row>
    <row r="3965" spans="1:2" x14ac:dyDescent="0.35">
      <c r="B3965"/>
    </row>
    <row r="3966" spans="1:2" x14ac:dyDescent="0.35">
      <c r="B3966"/>
    </row>
    <row r="3967" spans="1:2" ht="15.5" x14ac:dyDescent="0.35">
      <c r="A3967" s="49"/>
      <c r="B3967" s="49"/>
    </row>
    <row r="3968" spans="1:2" x14ac:dyDescent="0.35">
      <c r="B3968"/>
    </row>
    <row r="3969" spans="1:2" x14ac:dyDescent="0.35">
      <c r="B3969"/>
    </row>
    <row r="3970" spans="1:2" x14ac:dyDescent="0.35">
      <c r="B3970"/>
    </row>
    <row r="3971" spans="1:2" x14ac:dyDescent="0.35">
      <c r="B3971"/>
    </row>
    <row r="3972" spans="1:2" x14ac:dyDescent="0.35">
      <c r="B3972"/>
    </row>
    <row r="3973" spans="1:2" x14ac:dyDescent="0.35">
      <c r="B3973"/>
    </row>
    <row r="3974" spans="1:2" x14ac:dyDescent="0.35">
      <c r="B3974"/>
    </row>
    <row r="3975" spans="1:2" x14ac:dyDescent="0.35">
      <c r="B3975"/>
    </row>
    <row r="3976" spans="1:2" x14ac:dyDescent="0.35">
      <c r="B3976"/>
    </row>
    <row r="3977" spans="1:2" ht="15.5" x14ac:dyDescent="0.35">
      <c r="A3977" s="49"/>
      <c r="B3977"/>
    </row>
    <row r="3978" spans="1:2" x14ac:dyDescent="0.35">
      <c r="B3978"/>
    </row>
    <row r="3979" spans="1:2" x14ac:dyDescent="0.35">
      <c r="B3979"/>
    </row>
    <row r="3980" spans="1:2" x14ac:dyDescent="0.35">
      <c r="B3980"/>
    </row>
    <row r="3981" spans="1:2" x14ac:dyDescent="0.35">
      <c r="B3981"/>
    </row>
    <row r="3982" spans="1:2" x14ac:dyDescent="0.35">
      <c r="B3982"/>
    </row>
    <row r="3983" spans="1:2" x14ac:dyDescent="0.35">
      <c r="B3983"/>
    </row>
    <row r="3984" spans="1:2" x14ac:dyDescent="0.35">
      <c r="B3984"/>
    </row>
    <row r="3985" spans="2:2" x14ac:dyDescent="0.35">
      <c r="B3985"/>
    </row>
    <row r="3986" spans="2:2" x14ac:dyDescent="0.35">
      <c r="B3986"/>
    </row>
    <row r="3987" spans="2:2" x14ac:dyDescent="0.35">
      <c r="B3987"/>
    </row>
    <row r="3988" spans="2:2" x14ac:dyDescent="0.35">
      <c r="B3988"/>
    </row>
    <row r="3989" spans="2:2" x14ac:dyDescent="0.35">
      <c r="B3989"/>
    </row>
    <row r="3990" spans="2:2" x14ac:dyDescent="0.35">
      <c r="B3990"/>
    </row>
    <row r="3991" spans="2:2" x14ac:dyDescent="0.35">
      <c r="B3991"/>
    </row>
    <row r="3992" spans="2:2" x14ac:dyDescent="0.35">
      <c r="B3992"/>
    </row>
    <row r="3993" spans="2:2" x14ac:dyDescent="0.35">
      <c r="B3993"/>
    </row>
    <row r="3994" spans="2:2" x14ac:dyDescent="0.35">
      <c r="B3994"/>
    </row>
    <row r="3995" spans="2:2" x14ac:dyDescent="0.35">
      <c r="B3995"/>
    </row>
    <row r="3996" spans="2:2" x14ac:dyDescent="0.35">
      <c r="B3996"/>
    </row>
    <row r="3997" spans="2:2" x14ac:dyDescent="0.35">
      <c r="B3997"/>
    </row>
    <row r="3998" spans="2:2" x14ac:dyDescent="0.35">
      <c r="B3998"/>
    </row>
    <row r="3999" spans="2:2" x14ac:dyDescent="0.35">
      <c r="B3999"/>
    </row>
    <row r="4000" spans="2:2" x14ac:dyDescent="0.35">
      <c r="B4000"/>
    </row>
    <row r="4001" spans="2:2" x14ac:dyDescent="0.35">
      <c r="B4001"/>
    </row>
    <row r="4002" spans="2:2" x14ac:dyDescent="0.35">
      <c r="B4002"/>
    </row>
    <row r="4003" spans="2:2" x14ac:dyDescent="0.35">
      <c r="B4003"/>
    </row>
    <row r="4004" spans="2:2" x14ac:dyDescent="0.35">
      <c r="B4004"/>
    </row>
    <row r="4005" spans="2:2" x14ac:dyDescent="0.35">
      <c r="B4005"/>
    </row>
    <row r="4006" spans="2:2" x14ac:dyDescent="0.35">
      <c r="B4006"/>
    </row>
    <row r="4007" spans="2:2" x14ac:dyDescent="0.35">
      <c r="B4007"/>
    </row>
    <row r="4008" spans="2:2" x14ac:dyDescent="0.35">
      <c r="B4008"/>
    </row>
    <row r="4009" spans="2:2" x14ac:dyDescent="0.35">
      <c r="B4009"/>
    </row>
    <row r="4010" spans="2:2" x14ac:dyDescent="0.35">
      <c r="B4010"/>
    </row>
    <row r="4011" spans="2:2" x14ac:dyDescent="0.35">
      <c r="B4011"/>
    </row>
    <row r="4012" spans="2:2" x14ac:dyDescent="0.35">
      <c r="B4012"/>
    </row>
    <row r="4013" spans="2:2" x14ac:dyDescent="0.35">
      <c r="B4013"/>
    </row>
    <row r="4014" spans="2:2" x14ac:dyDescent="0.35">
      <c r="B4014"/>
    </row>
    <row r="4015" spans="2:2" x14ac:dyDescent="0.35">
      <c r="B4015"/>
    </row>
    <row r="4016" spans="2:2" x14ac:dyDescent="0.35">
      <c r="B4016"/>
    </row>
    <row r="4017" spans="2:2" x14ac:dyDescent="0.35">
      <c r="B4017"/>
    </row>
    <row r="4018" spans="2:2" x14ac:dyDescent="0.35">
      <c r="B4018"/>
    </row>
    <row r="4019" spans="2:2" x14ac:dyDescent="0.35">
      <c r="B4019"/>
    </row>
    <row r="4020" spans="2:2" x14ac:dyDescent="0.35">
      <c r="B4020"/>
    </row>
    <row r="4021" spans="2:2" x14ac:dyDescent="0.35">
      <c r="B4021"/>
    </row>
    <row r="4022" spans="2:2" x14ac:dyDescent="0.35">
      <c r="B4022"/>
    </row>
    <row r="4023" spans="2:2" x14ac:dyDescent="0.35">
      <c r="B4023"/>
    </row>
    <row r="4024" spans="2:2" x14ac:dyDescent="0.35">
      <c r="B4024"/>
    </row>
    <row r="4025" spans="2:2" x14ac:dyDescent="0.35">
      <c r="B4025"/>
    </row>
    <row r="4026" spans="2:2" x14ac:dyDescent="0.35">
      <c r="B4026"/>
    </row>
    <row r="4027" spans="2:2" x14ac:dyDescent="0.35">
      <c r="B4027"/>
    </row>
    <row r="4028" spans="2:2" x14ac:dyDescent="0.35">
      <c r="B4028"/>
    </row>
    <row r="4029" spans="2:2" x14ac:dyDescent="0.35">
      <c r="B4029"/>
    </row>
    <row r="4030" spans="2:2" x14ac:dyDescent="0.35">
      <c r="B4030"/>
    </row>
    <row r="4031" spans="2:2" x14ac:dyDescent="0.35">
      <c r="B4031"/>
    </row>
    <row r="4032" spans="2:2" x14ac:dyDescent="0.35">
      <c r="B4032"/>
    </row>
    <row r="4033" spans="1:2" x14ac:dyDescent="0.35">
      <c r="B4033"/>
    </row>
    <row r="4034" spans="1:2" x14ac:dyDescent="0.35">
      <c r="B4034"/>
    </row>
    <row r="4035" spans="1:2" x14ac:dyDescent="0.35">
      <c r="B4035"/>
    </row>
    <row r="4036" spans="1:2" x14ac:dyDescent="0.35">
      <c r="B4036"/>
    </row>
    <row r="4037" spans="1:2" x14ac:dyDescent="0.35">
      <c r="B4037"/>
    </row>
    <row r="4038" spans="1:2" x14ac:dyDescent="0.35">
      <c r="B4038"/>
    </row>
    <row r="4039" spans="1:2" ht="15.5" x14ac:dyDescent="0.35">
      <c r="A4039" s="49"/>
      <c r="B4039" s="49"/>
    </row>
    <row r="4040" spans="1:2" x14ac:dyDescent="0.35">
      <c r="B4040"/>
    </row>
    <row r="4041" spans="1:2" x14ac:dyDescent="0.35">
      <c r="B4041"/>
    </row>
    <row r="4042" spans="1:2" x14ac:dyDescent="0.35">
      <c r="B4042"/>
    </row>
    <row r="4043" spans="1:2" x14ac:dyDescent="0.35">
      <c r="B4043"/>
    </row>
    <row r="4044" spans="1:2" x14ac:dyDescent="0.35">
      <c r="B4044"/>
    </row>
    <row r="4045" spans="1:2" x14ac:dyDescent="0.35">
      <c r="B4045"/>
    </row>
    <row r="4046" spans="1:2" x14ac:dyDescent="0.35">
      <c r="B4046"/>
    </row>
    <row r="4047" spans="1:2" x14ac:dyDescent="0.35">
      <c r="B4047"/>
    </row>
    <row r="4048" spans="1:2" x14ac:dyDescent="0.35">
      <c r="B4048"/>
    </row>
    <row r="4049" spans="1:2" ht="15.5" x14ac:dyDescent="0.35">
      <c r="A4049" s="49"/>
      <c r="B4049"/>
    </row>
    <row r="4050" spans="1:2" x14ac:dyDescent="0.35">
      <c r="B4050"/>
    </row>
    <row r="4051" spans="1:2" x14ac:dyDescent="0.35">
      <c r="B4051"/>
    </row>
    <row r="4052" spans="1:2" x14ac:dyDescent="0.35">
      <c r="B4052"/>
    </row>
    <row r="4053" spans="1:2" x14ac:dyDescent="0.35">
      <c r="B4053"/>
    </row>
    <row r="4054" spans="1:2" x14ac:dyDescent="0.35">
      <c r="B4054"/>
    </row>
    <row r="4055" spans="1:2" x14ac:dyDescent="0.35">
      <c r="B4055"/>
    </row>
    <row r="4056" spans="1:2" x14ac:dyDescent="0.35">
      <c r="B4056"/>
    </row>
    <row r="4057" spans="1:2" x14ac:dyDescent="0.35">
      <c r="B4057"/>
    </row>
    <row r="4058" spans="1:2" x14ac:dyDescent="0.35">
      <c r="B4058"/>
    </row>
    <row r="4059" spans="1:2" x14ac:dyDescent="0.35">
      <c r="B4059"/>
    </row>
    <row r="4060" spans="1:2" x14ac:dyDescent="0.35">
      <c r="B4060"/>
    </row>
    <row r="4061" spans="1:2" x14ac:dyDescent="0.35">
      <c r="B4061"/>
    </row>
    <row r="4062" spans="1:2" x14ac:dyDescent="0.35">
      <c r="B4062"/>
    </row>
    <row r="4063" spans="1:2" x14ac:dyDescent="0.35">
      <c r="B4063"/>
    </row>
    <row r="4064" spans="1:2" x14ac:dyDescent="0.35">
      <c r="B4064"/>
    </row>
    <row r="4065" spans="2:2" x14ac:dyDescent="0.35">
      <c r="B4065"/>
    </row>
    <row r="4066" spans="2:2" x14ac:dyDescent="0.35">
      <c r="B4066"/>
    </row>
    <row r="4067" spans="2:2" x14ac:dyDescent="0.35">
      <c r="B4067"/>
    </row>
    <row r="4068" spans="2:2" x14ac:dyDescent="0.35">
      <c r="B4068"/>
    </row>
    <row r="4069" spans="2:2" x14ac:dyDescent="0.35">
      <c r="B4069"/>
    </row>
    <row r="4070" spans="2:2" x14ac:dyDescent="0.35">
      <c r="B4070"/>
    </row>
    <row r="4071" spans="2:2" x14ac:dyDescent="0.35">
      <c r="B4071"/>
    </row>
    <row r="4072" spans="2:2" x14ac:dyDescent="0.35">
      <c r="B4072"/>
    </row>
    <row r="4073" spans="2:2" x14ac:dyDescent="0.35">
      <c r="B4073"/>
    </row>
    <row r="4074" spans="2:2" x14ac:dyDescent="0.35">
      <c r="B4074"/>
    </row>
    <row r="4075" spans="2:2" x14ac:dyDescent="0.35">
      <c r="B4075"/>
    </row>
    <row r="4076" spans="2:2" x14ac:dyDescent="0.35">
      <c r="B4076"/>
    </row>
    <row r="4077" spans="2:2" x14ac:dyDescent="0.35">
      <c r="B4077"/>
    </row>
    <row r="4078" spans="2:2" x14ac:dyDescent="0.35">
      <c r="B4078"/>
    </row>
    <row r="4079" spans="2:2" x14ac:dyDescent="0.35">
      <c r="B4079"/>
    </row>
    <row r="4080" spans="2:2" x14ac:dyDescent="0.35">
      <c r="B4080"/>
    </row>
    <row r="4081" spans="2:2" x14ac:dyDescent="0.35">
      <c r="B4081"/>
    </row>
    <row r="4082" spans="2:2" x14ac:dyDescent="0.35">
      <c r="B4082"/>
    </row>
    <row r="4083" spans="2:2" x14ac:dyDescent="0.35">
      <c r="B4083"/>
    </row>
    <row r="4084" spans="2:2" x14ac:dyDescent="0.35">
      <c r="B4084"/>
    </row>
    <row r="4085" spans="2:2" x14ac:dyDescent="0.35">
      <c r="B4085"/>
    </row>
    <row r="4086" spans="2:2" x14ac:dyDescent="0.35">
      <c r="B4086"/>
    </row>
    <row r="4087" spans="2:2" x14ac:dyDescent="0.35">
      <c r="B4087"/>
    </row>
    <row r="4088" spans="2:2" x14ac:dyDescent="0.35">
      <c r="B4088"/>
    </row>
    <row r="4089" spans="2:2" x14ac:dyDescent="0.35">
      <c r="B4089"/>
    </row>
    <row r="4090" spans="2:2" x14ac:dyDescent="0.35">
      <c r="B4090"/>
    </row>
    <row r="4091" spans="2:2" x14ac:dyDescent="0.35">
      <c r="B4091"/>
    </row>
    <row r="4092" spans="2:2" x14ac:dyDescent="0.35">
      <c r="B4092"/>
    </row>
    <row r="4093" spans="2:2" x14ac:dyDescent="0.35">
      <c r="B4093"/>
    </row>
    <row r="4094" spans="2:2" x14ac:dyDescent="0.35">
      <c r="B4094"/>
    </row>
    <row r="4095" spans="2:2" x14ac:dyDescent="0.35">
      <c r="B4095"/>
    </row>
    <row r="4096" spans="2:2" x14ac:dyDescent="0.35">
      <c r="B4096"/>
    </row>
    <row r="4097" spans="1:2" x14ac:dyDescent="0.35">
      <c r="B4097"/>
    </row>
    <row r="4098" spans="1:2" x14ac:dyDescent="0.35">
      <c r="B4098"/>
    </row>
    <row r="4099" spans="1:2" x14ac:dyDescent="0.35">
      <c r="B4099"/>
    </row>
    <row r="4100" spans="1:2" x14ac:dyDescent="0.35">
      <c r="B4100"/>
    </row>
    <row r="4101" spans="1:2" x14ac:dyDescent="0.35">
      <c r="B4101"/>
    </row>
    <row r="4102" spans="1:2" x14ac:dyDescent="0.35">
      <c r="B4102"/>
    </row>
    <row r="4103" spans="1:2" x14ac:dyDescent="0.35">
      <c r="B4103"/>
    </row>
    <row r="4104" spans="1:2" x14ac:dyDescent="0.35">
      <c r="B4104"/>
    </row>
    <row r="4105" spans="1:2" x14ac:dyDescent="0.35">
      <c r="B4105"/>
    </row>
    <row r="4106" spans="1:2" x14ac:dyDescent="0.35">
      <c r="B4106"/>
    </row>
    <row r="4107" spans="1:2" x14ac:dyDescent="0.35">
      <c r="B4107"/>
    </row>
    <row r="4108" spans="1:2" x14ac:dyDescent="0.35">
      <c r="B4108"/>
    </row>
    <row r="4109" spans="1:2" x14ac:dyDescent="0.35">
      <c r="B4109"/>
    </row>
    <row r="4110" spans="1:2" x14ac:dyDescent="0.35">
      <c r="B4110"/>
    </row>
    <row r="4111" spans="1:2" ht="15.5" x14ac:dyDescent="0.35">
      <c r="A4111" s="49"/>
      <c r="B4111" s="49"/>
    </row>
    <row r="4112" spans="1:2" x14ac:dyDescent="0.35">
      <c r="B4112"/>
    </row>
    <row r="4113" spans="1:2" x14ac:dyDescent="0.35">
      <c r="B4113"/>
    </row>
    <row r="4114" spans="1:2" x14ac:dyDescent="0.35">
      <c r="B4114"/>
    </row>
    <row r="4115" spans="1:2" x14ac:dyDescent="0.35">
      <c r="B4115"/>
    </row>
    <row r="4116" spans="1:2" x14ac:dyDescent="0.35">
      <c r="B4116"/>
    </row>
    <row r="4117" spans="1:2" x14ac:dyDescent="0.35">
      <c r="B4117"/>
    </row>
    <row r="4118" spans="1:2" x14ac:dyDescent="0.35">
      <c r="B4118"/>
    </row>
    <row r="4119" spans="1:2" x14ac:dyDescent="0.35">
      <c r="B4119"/>
    </row>
    <row r="4120" spans="1:2" x14ac:dyDescent="0.35">
      <c r="B4120"/>
    </row>
    <row r="4121" spans="1:2" ht="15.5" x14ac:dyDescent="0.35">
      <c r="A4121" s="49"/>
      <c r="B4121"/>
    </row>
    <row r="4122" spans="1:2" x14ac:dyDescent="0.35">
      <c r="B4122"/>
    </row>
    <row r="4123" spans="1:2" x14ac:dyDescent="0.35">
      <c r="B4123"/>
    </row>
    <row r="4124" spans="1:2" x14ac:dyDescent="0.35">
      <c r="B4124"/>
    </row>
    <row r="4125" spans="1:2" x14ac:dyDescent="0.35">
      <c r="B4125"/>
    </row>
    <row r="4126" spans="1:2" x14ac:dyDescent="0.35">
      <c r="B4126"/>
    </row>
    <row r="4127" spans="1:2" x14ac:dyDescent="0.35">
      <c r="B4127"/>
    </row>
    <row r="4128" spans="1:2" x14ac:dyDescent="0.35">
      <c r="B4128"/>
    </row>
    <row r="4129" spans="2:2" x14ac:dyDescent="0.35">
      <c r="B4129"/>
    </row>
    <row r="4130" spans="2:2" x14ac:dyDescent="0.35">
      <c r="B4130"/>
    </row>
    <row r="4131" spans="2:2" x14ac:dyDescent="0.35">
      <c r="B4131"/>
    </row>
    <row r="4132" spans="2:2" x14ac:dyDescent="0.35">
      <c r="B4132"/>
    </row>
    <row r="4133" spans="2:2" x14ac:dyDescent="0.35">
      <c r="B4133"/>
    </row>
    <row r="4134" spans="2:2" x14ac:dyDescent="0.35">
      <c r="B4134"/>
    </row>
    <row r="4135" spans="2:2" x14ac:dyDescent="0.35">
      <c r="B4135"/>
    </row>
    <row r="4136" spans="2:2" x14ac:dyDescent="0.35">
      <c r="B4136"/>
    </row>
    <row r="4137" spans="2:2" x14ac:dyDescent="0.35">
      <c r="B4137"/>
    </row>
    <row r="4138" spans="2:2" x14ac:dyDescent="0.35">
      <c r="B4138"/>
    </row>
    <row r="4139" spans="2:2" x14ac:dyDescent="0.35">
      <c r="B4139"/>
    </row>
    <row r="4140" spans="2:2" x14ac:dyDescent="0.35">
      <c r="B4140"/>
    </row>
    <row r="4141" spans="2:2" x14ac:dyDescent="0.35">
      <c r="B4141"/>
    </row>
    <row r="4142" spans="2:2" x14ac:dyDescent="0.35">
      <c r="B4142"/>
    </row>
    <row r="4143" spans="2:2" x14ac:dyDescent="0.35">
      <c r="B4143"/>
    </row>
    <row r="4144" spans="2:2" x14ac:dyDescent="0.35">
      <c r="B4144"/>
    </row>
    <row r="4145" spans="2:2" x14ac:dyDescent="0.35">
      <c r="B4145"/>
    </row>
    <row r="4146" spans="2:2" x14ac:dyDescent="0.35">
      <c r="B4146"/>
    </row>
    <row r="4147" spans="2:2" x14ac:dyDescent="0.35">
      <c r="B4147"/>
    </row>
    <row r="4148" spans="2:2" x14ac:dyDescent="0.35">
      <c r="B4148"/>
    </row>
    <row r="4149" spans="2:2" x14ac:dyDescent="0.35">
      <c r="B4149"/>
    </row>
    <row r="4150" spans="2:2" x14ac:dyDescent="0.35">
      <c r="B4150"/>
    </row>
    <row r="4151" spans="2:2" x14ac:dyDescent="0.35">
      <c r="B4151"/>
    </row>
    <row r="4152" spans="2:2" x14ac:dyDescent="0.35">
      <c r="B4152"/>
    </row>
    <row r="4153" spans="2:2" x14ac:dyDescent="0.35">
      <c r="B4153"/>
    </row>
    <row r="4154" spans="2:2" x14ac:dyDescent="0.35">
      <c r="B4154"/>
    </row>
    <row r="4155" spans="2:2" x14ac:dyDescent="0.35">
      <c r="B4155"/>
    </row>
    <row r="4156" spans="2:2" x14ac:dyDescent="0.35">
      <c r="B4156"/>
    </row>
    <row r="4157" spans="2:2" x14ac:dyDescent="0.35">
      <c r="B4157"/>
    </row>
    <row r="4158" spans="2:2" x14ac:dyDescent="0.35">
      <c r="B4158"/>
    </row>
    <row r="4159" spans="2:2" x14ac:dyDescent="0.35">
      <c r="B4159"/>
    </row>
    <row r="4160" spans="2:2" x14ac:dyDescent="0.35">
      <c r="B4160"/>
    </row>
    <row r="4161" spans="2:2" x14ac:dyDescent="0.35">
      <c r="B4161"/>
    </row>
    <row r="4162" spans="2:2" x14ac:dyDescent="0.35">
      <c r="B4162"/>
    </row>
    <row r="4163" spans="2:2" x14ac:dyDescent="0.35">
      <c r="B4163"/>
    </row>
    <row r="4164" spans="2:2" x14ac:dyDescent="0.35">
      <c r="B4164"/>
    </row>
    <row r="4165" spans="2:2" x14ac:dyDescent="0.35">
      <c r="B4165"/>
    </row>
    <row r="4166" spans="2:2" x14ac:dyDescent="0.35">
      <c r="B4166"/>
    </row>
    <row r="4167" spans="2:2" x14ac:dyDescent="0.35">
      <c r="B4167"/>
    </row>
    <row r="4168" spans="2:2" x14ac:dyDescent="0.35">
      <c r="B4168"/>
    </row>
    <row r="4169" spans="2:2" x14ac:dyDescent="0.35">
      <c r="B4169"/>
    </row>
    <row r="4170" spans="2:2" x14ac:dyDescent="0.35">
      <c r="B4170"/>
    </row>
    <row r="4171" spans="2:2" x14ac:dyDescent="0.35">
      <c r="B4171"/>
    </row>
    <row r="4172" spans="2:2" x14ac:dyDescent="0.35">
      <c r="B4172"/>
    </row>
    <row r="4173" spans="2:2" x14ac:dyDescent="0.35">
      <c r="B4173"/>
    </row>
    <row r="4174" spans="2:2" x14ac:dyDescent="0.35">
      <c r="B4174"/>
    </row>
    <row r="4175" spans="2:2" x14ac:dyDescent="0.35">
      <c r="B4175"/>
    </row>
    <row r="4176" spans="2:2" x14ac:dyDescent="0.35">
      <c r="B4176"/>
    </row>
    <row r="4177" spans="1:2" x14ac:dyDescent="0.35">
      <c r="B4177"/>
    </row>
    <row r="4178" spans="1:2" x14ac:dyDescent="0.35">
      <c r="B4178"/>
    </row>
    <row r="4179" spans="1:2" x14ac:dyDescent="0.35">
      <c r="B4179"/>
    </row>
    <row r="4180" spans="1:2" x14ac:dyDescent="0.35">
      <c r="B4180"/>
    </row>
    <row r="4181" spans="1:2" x14ac:dyDescent="0.35">
      <c r="B4181"/>
    </row>
    <row r="4182" spans="1:2" x14ac:dyDescent="0.35">
      <c r="B4182"/>
    </row>
    <row r="4183" spans="1:2" ht="15.5" x14ac:dyDescent="0.35">
      <c r="A4183" s="49"/>
      <c r="B4183" s="49"/>
    </row>
    <row r="4184" spans="1:2" x14ac:dyDescent="0.35">
      <c r="B4184"/>
    </row>
    <row r="4185" spans="1:2" x14ac:dyDescent="0.35">
      <c r="B4185"/>
    </row>
    <row r="4186" spans="1:2" x14ac:dyDescent="0.35">
      <c r="B4186"/>
    </row>
    <row r="4187" spans="1:2" x14ac:dyDescent="0.35">
      <c r="B4187"/>
    </row>
    <row r="4188" spans="1:2" x14ac:dyDescent="0.35">
      <c r="B4188"/>
    </row>
    <row r="4189" spans="1:2" x14ac:dyDescent="0.35">
      <c r="B4189"/>
    </row>
    <row r="4190" spans="1:2" x14ac:dyDescent="0.35">
      <c r="B4190"/>
    </row>
    <row r="4191" spans="1:2" x14ac:dyDescent="0.35">
      <c r="B4191"/>
    </row>
    <row r="4192" spans="1:2" x14ac:dyDescent="0.35">
      <c r="B4192"/>
    </row>
    <row r="4193" spans="1:2" ht="15.5" x14ac:dyDescent="0.35">
      <c r="A4193" s="49"/>
      <c r="B4193"/>
    </row>
    <row r="4194" spans="1:2" x14ac:dyDescent="0.35">
      <c r="B4194"/>
    </row>
    <row r="4195" spans="1:2" x14ac:dyDescent="0.35">
      <c r="B4195"/>
    </row>
    <row r="4196" spans="1:2" x14ac:dyDescent="0.35">
      <c r="B4196"/>
    </row>
    <row r="4197" spans="1:2" x14ac:dyDescent="0.35">
      <c r="B4197"/>
    </row>
    <row r="4198" spans="1:2" x14ac:dyDescent="0.35">
      <c r="B4198"/>
    </row>
    <row r="4199" spans="1:2" x14ac:dyDescent="0.35">
      <c r="B4199"/>
    </row>
    <row r="4200" spans="1:2" x14ac:dyDescent="0.35">
      <c r="B4200"/>
    </row>
    <row r="4201" spans="1:2" x14ac:dyDescent="0.35">
      <c r="B4201"/>
    </row>
    <row r="4202" spans="1:2" x14ac:dyDescent="0.35">
      <c r="B4202"/>
    </row>
    <row r="4203" spans="1:2" x14ac:dyDescent="0.35">
      <c r="B4203"/>
    </row>
    <row r="4204" spans="1:2" x14ac:dyDescent="0.35">
      <c r="B4204"/>
    </row>
    <row r="4205" spans="1:2" x14ac:dyDescent="0.35">
      <c r="B4205"/>
    </row>
    <row r="4206" spans="1:2" x14ac:dyDescent="0.35">
      <c r="B4206"/>
    </row>
    <row r="4207" spans="1:2" x14ac:dyDescent="0.35">
      <c r="B4207"/>
    </row>
    <row r="4208" spans="1:2" x14ac:dyDescent="0.35">
      <c r="B4208"/>
    </row>
    <row r="4209" spans="1:2" x14ac:dyDescent="0.35">
      <c r="B4209"/>
    </row>
    <row r="4210" spans="1:2" x14ac:dyDescent="0.35">
      <c r="B4210"/>
    </row>
    <row r="4211" spans="1:2" x14ac:dyDescent="0.35">
      <c r="B4211"/>
    </row>
    <row r="4212" spans="1:2" x14ac:dyDescent="0.35">
      <c r="B4212"/>
    </row>
    <row r="4213" spans="1:2" x14ac:dyDescent="0.35">
      <c r="B4213"/>
    </row>
    <row r="4214" spans="1:2" x14ac:dyDescent="0.35">
      <c r="B4214"/>
    </row>
    <row r="4215" spans="1:2" x14ac:dyDescent="0.35">
      <c r="B4215"/>
    </row>
    <row r="4216" spans="1:2" x14ac:dyDescent="0.35">
      <c r="B4216"/>
    </row>
    <row r="4217" spans="1:2" ht="15.5" x14ac:dyDescent="0.35">
      <c r="A4217" s="49"/>
      <c r="B4217" s="49"/>
    </row>
    <row r="4218" spans="1:2" x14ac:dyDescent="0.35">
      <c r="B4218"/>
    </row>
    <row r="4219" spans="1:2" x14ac:dyDescent="0.35">
      <c r="B4219"/>
    </row>
    <row r="4220" spans="1:2" x14ac:dyDescent="0.35">
      <c r="B4220"/>
    </row>
    <row r="4221" spans="1:2" x14ac:dyDescent="0.35">
      <c r="B4221"/>
    </row>
    <row r="4222" spans="1:2" x14ac:dyDescent="0.35">
      <c r="B4222"/>
    </row>
    <row r="4223" spans="1:2" x14ac:dyDescent="0.35">
      <c r="B4223"/>
    </row>
    <row r="4224" spans="1:2" x14ac:dyDescent="0.35">
      <c r="B4224"/>
    </row>
    <row r="4225" spans="1:2" x14ac:dyDescent="0.35">
      <c r="B4225"/>
    </row>
    <row r="4226" spans="1:2" x14ac:dyDescent="0.35">
      <c r="B4226"/>
    </row>
    <row r="4227" spans="1:2" ht="15.5" x14ac:dyDescent="0.35">
      <c r="A4227" s="49"/>
      <c r="B4227"/>
    </row>
    <row r="4228" spans="1:2" x14ac:dyDescent="0.35">
      <c r="B4228"/>
    </row>
    <row r="4229" spans="1:2" x14ac:dyDescent="0.35">
      <c r="B4229"/>
    </row>
    <row r="4230" spans="1:2" x14ac:dyDescent="0.35">
      <c r="B4230"/>
    </row>
    <row r="4231" spans="1:2" x14ac:dyDescent="0.35">
      <c r="B4231"/>
    </row>
    <row r="4232" spans="1:2" x14ac:dyDescent="0.35">
      <c r="B4232"/>
    </row>
    <row r="4233" spans="1:2" x14ac:dyDescent="0.35">
      <c r="B4233"/>
    </row>
    <row r="4234" spans="1:2" x14ac:dyDescent="0.35">
      <c r="B4234"/>
    </row>
    <row r="4235" spans="1:2" x14ac:dyDescent="0.35">
      <c r="B4235"/>
    </row>
    <row r="4236" spans="1:2" x14ac:dyDescent="0.35">
      <c r="B4236"/>
    </row>
    <row r="4237" spans="1:2" x14ac:dyDescent="0.35">
      <c r="B4237"/>
    </row>
    <row r="4238" spans="1:2" x14ac:dyDescent="0.35">
      <c r="B4238"/>
    </row>
    <row r="4239" spans="1:2" x14ac:dyDescent="0.35">
      <c r="B4239"/>
    </row>
    <row r="4240" spans="1:2" x14ac:dyDescent="0.35">
      <c r="B4240"/>
    </row>
    <row r="4241" spans="1:2" ht="15.5" x14ac:dyDescent="0.35">
      <c r="A4241" s="49"/>
      <c r="B4241" s="49"/>
    </row>
    <row r="4242" spans="1:2" x14ac:dyDescent="0.35">
      <c r="B4242"/>
    </row>
    <row r="4243" spans="1:2" x14ac:dyDescent="0.35">
      <c r="B4243"/>
    </row>
    <row r="4244" spans="1:2" x14ac:dyDescent="0.35">
      <c r="B4244"/>
    </row>
    <row r="4245" spans="1:2" x14ac:dyDescent="0.35">
      <c r="B4245"/>
    </row>
    <row r="4246" spans="1:2" x14ac:dyDescent="0.35">
      <c r="B4246"/>
    </row>
    <row r="4247" spans="1:2" x14ac:dyDescent="0.35">
      <c r="B4247"/>
    </row>
    <row r="4248" spans="1:2" x14ac:dyDescent="0.35">
      <c r="B4248"/>
    </row>
    <row r="4249" spans="1:2" x14ac:dyDescent="0.35">
      <c r="B4249"/>
    </row>
    <row r="4250" spans="1:2" x14ac:dyDescent="0.35">
      <c r="B4250"/>
    </row>
    <row r="4251" spans="1:2" ht="15.5" x14ac:dyDescent="0.35">
      <c r="A4251" s="49"/>
      <c r="B4251"/>
    </row>
    <row r="4252" spans="1:2" x14ac:dyDescent="0.35">
      <c r="B4252"/>
    </row>
    <row r="4253" spans="1:2" x14ac:dyDescent="0.35">
      <c r="B4253"/>
    </row>
    <row r="4254" spans="1:2" x14ac:dyDescent="0.35">
      <c r="B4254"/>
    </row>
    <row r="4255" spans="1:2" x14ac:dyDescent="0.35">
      <c r="B4255"/>
    </row>
    <row r="4256" spans="1:2" x14ac:dyDescent="0.35">
      <c r="B4256"/>
    </row>
    <row r="4257" spans="1:2" x14ac:dyDescent="0.35">
      <c r="B4257"/>
    </row>
    <row r="4258" spans="1:2" x14ac:dyDescent="0.35">
      <c r="B4258"/>
    </row>
    <row r="4259" spans="1:2" x14ac:dyDescent="0.35">
      <c r="B4259"/>
    </row>
    <row r="4260" spans="1:2" x14ac:dyDescent="0.35">
      <c r="B4260"/>
    </row>
    <row r="4261" spans="1:2" ht="15.5" x14ac:dyDescent="0.35">
      <c r="A4261" s="49"/>
      <c r="B4261" s="49"/>
    </row>
    <row r="4262" spans="1:2" x14ac:dyDescent="0.35">
      <c r="B4262"/>
    </row>
    <row r="4263" spans="1:2" x14ac:dyDescent="0.35">
      <c r="B4263"/>
    </row>
    <row r="4264" spans="1:2" x14ac:dyDescent="0.35">
      <c r="B4264"/>
    </row>
    <row r="4265" spans="1:2" x14ac:dyDescent="0.35">
      <c r="B4265"/>
    </row>
    <row r="4266" spans="1:2" x14ac:dyDescent="0.35">
      <c r="B4266"/>
    </row>
    <row r="4267" spans="1:2" x14ac:dyDescent="0.35">
      <c r="B4267"/>
    </row>
    <row r="4268" spans="1:2" x14ac:dyDescent="0.35">
      <c r="B4268"/>
    </row>
    <row r="4269" spans="1:2" x14ac:dyDescent="0.35">
      <c r="B4269"/>
    </row>
    <row r="4270" spans="1:2" x14ac:dyDescent="0.35">
      <c r="B4270"/>
    </row>
    <row r="4271" spans="1:2" ht="15.5" x14ac:dyDescent="0.35">
      <c r="A4271" s="49"/>
      <c r="B4271"/>
    </row>
    <row r="4272" spans="1:2" x14ac:dyDescent="0.35">
      <c r="B4272"/>
    </row>
    <row r="4273" spans="1:2" x14ac:dyDescent="0.35">
      <c r="B4273"/>
    </row>
    <row r="4274" spans="1:2" x14ac:dyDescent="0.35">
      <c r="B4274"/>
    </row>
    <row r="4275" spans="1:2" x14ac:dyDescent="0.35">
      <c r="B4275"/>
    </row>
    <row r="4276" spans="1:2" x14ac:dyDescent="0.35">
      <c r="B4276"/>
    </row>
    <row r="4277" spans="1:2" x14ac:dyDescent="0.35">
      <c r="B4277"/>
    </row>
    <row r="4278" spans="1:2" x14ac:dyDescent="0.35">
      <c r="B4278"/>
    </row>
    <row r="4279" spans="1:2" x14ac:dyDescent="0.35">
      <c r="B4279"/>
    </row>
    <row r="4280" spans="1:2" x14ac:dyDescent="0.35">
      <c r="B4280"/>
    </row>
    <row r="4281" spans="1:2" x14ac:dyDescent="0.35">
      <c r="B4281"/>
    </row>
    <row r="4282" spans="1:2" x14ac:dyDescent="0.35">
      <c r="B4282"/>
    </row>
    <row r="4283" spans="1:2" x14ac:dyDescent="0.35">
      <c r="B4283"/>
    </row>
    <row r="4284" spans="1:2" ht="15.5" x14ac:dyDescent="0.35">
      <c r="A4284" s="49"/>
      <c r="B4284" s="49"/>
    </row>
    <row r="4285" spans="1:2" x14ac:dyDescent="0.35">
      <c r="B4285"/>
    </row>
    <row r="4286" spans="1:2" x14ac:dyDescent="0.35">
      <c r="B4286"/>
    </row>
    <row r="4287" spans="1:2" x14ac:dyDescent="0.35">
      <c r="B4287"/>
    </row>
    <row r="4288" spans="1:2" x14ac:dyDescent="0.35">
      <c r="B4288"/>
    </row>
    <row r="4289" spans="1:2" x14ac:dyDescent="0.35">
      <c r="B4289"/>
    </row>
    <row r="4290" spans="1:2" x14ac:dyDescent="0.35">
      <c r="B4290"/>
    </row>
    <row r="4291" spans="1:2" x14ac:dyDescent="0.35">
      <c r="B4291"/>
    </row>
    <row r="4292" spans="1:2" x14ac:dyDescent="0.35">
      <c r="B4292"/>
    </row>
    <row r="4293" spans="1:2" x14ac:dyDescent="0.35">
      <c r="B4293"/>
    </row>
    <row r="4294" spans="1:2" ht="15.5" x14ac:dyDescent="0.35">
      <c r="A4294" s="49"/>
      <c r="B4294"/>
    </row>
    <row r="4295" spans="1:2" x14ac:dyDescent="0.35">
      <c r="B4295"/>
    </row>
    <row r="4296" spans="1:2" x14ac:dyDescent="0.35">
      <c r="B4296"/>
    </row>
    <row r="4297" spans="1:2" x14ac:dyDescent="0.35">
      <c r="B4297"/>
    </row>
    <row r="4298" spans="1:2" x14ac:dyDescent="0.35">
      <c r="B4298"/>
    </row>
    <row r="4299" spans="1:2" x14ac:dyDescent="0.35">
      <c r="B4299"/>
    </row>
    <row r="4300" spans="1:2" x14ac:dyDescent="0.35">
      <c r="B4300"/>
    </row>
    <row r="4301" spans="1:2" x14ac:dyDescent="0.35">
      <c r="B4301"/>
    </row>
    <row r="4302" spans="1:2" x14ac:dyDescent="0.35">
      <c r="B4302"/>
    </row>
    <row r="4303" spans="1:2" x14ac:dyDescent="0.35">
      <c r="B4303"/>
    </row>
    <row r="4304" spans="1:2" x14ac:dyDescent="0.35">
      <c r="B4304"/>
    </row>
    <row r="4305" spans="1:2" x14ac:dyDescent="0.35">
      <c r="B4305"/>
    </row>
    <row r="4306" spans="1:2" x14ac:dyDescent="0.35">
      <c r="B4306"/>
    </row>
    <row r="4307" spans="1:2" ht="15.5" x14ac:dyDescent="0.35">
      <c r="A4307" s="49"/>
      <c r="B4307" s="49"/>
    </row>
    <row r="4308" spans="1:2" x14ac:dyDescent="0.35">
      <c r="B4308"/>
    </row>
    <row r="4309" spans="1:2" x14ac:dyDescent="0.35">
      <c r="B4309"/>
    </row>
    <row r="4310" spans="1:2" x14ac:dyDescent="0.35">
      <c r="B4310"/>
    </row>
    <row r="4311" spans="1:2" x14ac:dyDescent="0.35">
      <c r="B4311"/>
    </row>
    <row r="4312" spans="1:2" x14ac:dyDescent="0.35">
      <c r="B4312"/>
    </row>
    <row r="4313" spans="1:2" x14ac:dyDescent="0.35">
      <c r="B4313"/>
    </row>
    <row r="4314" spans="1:2" x14ac:dyDescent="0.35">
      <c r="B4314"/>
    </row>
    <row r="4315" spans="1:2" x14ac:dyDescent="0.35">
      <c r="B4315"/>
    </row>
    <row r="4316" spans="1:2" x14ac:dyDescent="0.35">
      <c r="B4316"/>
    </row>
    <row r="4317" spans="1:2" ht="15.5" x14ac:dyDescent="0.35">
      <c r="A4317" s="49"/>
      <c r="B4317"/>
    </row>
    <row r="4318" spans="1:2" x14ac:dyDescent="0.35">
      <c r="B4318"/>
    </row>
    <row r="4319" spans="1:2" x14ac:dyDescent="0.35">
      <c r="B4319"/>
    </row>
    <row r="4320" spans="1:2" x14ac:dyDescent="0.35">
      <c r="B4320"/>
    </row>
    <row r="4321" spans="1:2" x14ac:dyDescent="0.35">
      <c r="B4321"/>
    </row>
    <row r="4322" spans="1:2" x14ac:dyDescent="0.35">
      <c r="B4322"/>
    </row>
    <row r="4323" spans="1:2" x14ac:dyDescent="0.35">
      <c r="B4323"/>
    </row>
    <row r="4324" spans="1:2" x14ac:dyDescent="0.35">
      <c r="B4324"/>
    </row>
    <row r="4325" spans="1:2" x14ac:dyDescent="0.35">
      <c r="B4325"/>
    </row>
    <row r="4326" spans="1:2" x14ac:dyDescent="0.35">
      <c r="B4326"/>
    </row>
    <row r="4327" spans="1:2" x14ac:dyDescent="0.35">
      <c r="B4327"/>
    </row>
    <row r="4328" spans="1:2" x14ac:dyDescent="0.35">
      <c r="B4328"/>
    </row>
    <row r="4329" spans="1:2" x14ac:dyDescent="0.35">
      <c r="B4329"/>
    </row>
    <row r="4330" spans="1:2" ht="15.5" x14ac:dyDescent="0.35">
      <c r="A4330" s="49"/>
      <c r="B4330" s="49"/>
    </row>
    <row r="4331" spans="1:2" x14ac:dyDescent="0.35">
      <c r="B4331"/>
    </row>
    <row r="4332" spans="1:2" x14ac:dyDescent="0.35">
      <c r="B4332"/>
    </row>
    <row r="4333" spans="1:2" x14ac:dyDescent="0.35">
      <c r="B4333"/>
    </row>
    <row r="4334" spans="1:2" x14ac:dyDescent="0.35">
      <c r="B4334"/>
    </row>
    <row r="4335" spans="1:2" x14ac:dyDescent="0.35">
      <c r="B4335"/>
    </row>
    <row r="4336" spans="1:2" x14ac:dyDescent="0.35">
      <c r="B4336"/>
    </row>
    <row r="4337" spans="1:2" x14ac:dyDescent="0.35">
      <c r="B4337"/>
    </row>
    <row r="4338" spans="1:2" x14ac:dyDescent="0.35">
      <c r="B4338"/>
    </row>
    <row r="4339" spans="1:2" x14ac:dyDescent="0.35">
      <c r="B4339"/>
    </row>
    <row r="4340" spans="1:2" ht="15.5" x14ac:dyDescent="0.35">
      <c r="A4340" s="49"/>
      <c r="B4340"/>
    </row>
    <row r="4341" spans="1:2" x14ac:dyDescent="0.35">
      <c r="B4341"/>
    </row>
    <row r="4342" spans="1:2" x14ac:dyDescent="0.35">
      <c r="B4342"/>
    </row>
    <row r="4343" spans="1:2" x14ac:dyDescent="0.35">
      <c r="B4343"/>
    </row>
    <row r="4344" spans="1:2" x14ac:dyDescent="0.35">
      <c r="B4344"/>
    </row>
    <row r="4345" spans="1:2" x14ac:dyDescent="0.35">
      <c r="B4345"/>
    </row>
    <row r="4346" spans="1:2" x14ac:dyDescent="0.35">
      <c r="B4346"/>
    </row>
    <row r="4347" spans="1:2" x14ac:dyDescent="0.35">
      <c r="B4347"/>
    </row>
    <row r="4348" spans="1:2" x14ac:dyDescent="0.35">
      <c r="B4348"/>
    </row>
    <row r="4349" spans="1:2" x14ac:dyDescent="0.35">
      <c r="B4349"/>
    </row>
    <row r="4350" spans="1:2" x14ac:dyDescent="0.35">
      <c r="B4350"/>
    </row>
    <row r="4351" spans="1:2" x14ac:dyDescent="0.35">
      <c r="B4351"/>
    </row>
    <row r="4352" spans="1:2" x14ac:dyDescent="0.35">
      <c r="B4352"/>
    </row>
    <row r="4353" spans="1:2" x14ac:dyDescent="0.35">
      <c r="B4353"/>
    </row>
    <row r="4354" spans="1:2" x14ac:dyDescent="0.35">
      <c r="B4354"/>
    </row>
    <row r="4355" spans="1:2" x14ac:dyDescent="0.35">
      <c r="B4355"/>
    </row>
    <row r="4356" spans="1:2" x14ac:dyDescent="0.35">
      <c r="B4356"/>
    </row>
    <row r="4357" spans="1:2" x14ac:dyDescent="0.35">
      <c r="B4357"/>
    </row>
    <row r="4358" spans="1:2" x14ac:dyDescent="0.35">
      <c r="B4358"/>
    </row>
    <row r="4359" spans="1:2" x14ac:dyDescent="0.35">
      <c r="B4359"/>
    </row>
    <row r="4360" spans="1:2" x14ac:dyDescent="0.35">
      <c r="B4360"/>
    </row>
    <row r="4361" spans="1:2" x14ac:dyDescent="0.35">
      <c r="B4361"/>
    </row>
    <row r="4362" spans="1:2" x14ac:dyDescent="0.35">
      <c r="B4362"/>
    </row>
    <row r="4363" spans="1:2" ht="15.5" x14ac:dyDescent="0.35">
      <c r="A4363" s="49"/>
      <c r="B4363" s="49"/>
    </row>
    <row r="4364" spans="1:2" x14ac:dyDescent="0.35">
      <c r="B4364"/>
    </row>
    <row r="4365" spans="1:2" x14ac:dyDescent="0.35">
      <c r="B4365"/>
    </row>
    <row r="4366" spans="1:2" x14ac:dyDescent="0.35">
      <c r="B4366"/>
    </row>
    <row r="4367" spans="1:2" x14ac:dyDescent="0.35">
      <c r="B4367"/>
    </row>
    <row r="4368" spans="1:2" x14ac:dyDescent="0.35">
      <c r="B4368"/>
    </row>
    <row r="4369" spans="1:2" x14ac:dyDescent="0.35">
      <c r="B4369"/>
    </row>
    <row r="4370" spans="1:2" x14ac:dyDescent="0.35">
      <c r="B4370"/>
    </row>
    <row r="4371" spans="1:2" x14ac:dyDescent="0.35">
      <c r="B4371"/>
    </row>
    <row r="4372" spans="1:2" x14ac:dyDescent="0.35">
      <c r="B4372"/>
    </row>
    <row r="4373" spans="1:2" ht="15.5" x14ac:dyDescent="0.35">
      <c r="A4373" s="49"/>
      <c r="B4373"/>
    </row>
    <row r="4374" spans="1:2" x14ac:dyDescent="0.35">
      <c r="B4374"/>
    </row>
    <row r="4375" spans="1:2" x14ac:dyDescent="0.35">
      <c r="B4375"/>
    </row>
    <row r="4376" spans="1:2" x14ac:dyDescent="0.35">
      <c r="B4376"/>
    </row>
    <row r="4377" spans="1:2" x14ac:dyDescent="0.35">
      <c r="B4377"/>
    </row>
    <row r="4378" spans="1:2" x14ac:dyDescent="0.35">
      <c r="B4378"/>
    </row>
    <row r="4379" spans="1:2" x14ac:dyDescent="0.35">
      <c r="B4379"/>
    </row>
    <row r="4380" spans="1:2" x14ac:dyDescent="0.35">
      <c r="B4380"/>
    </row>
    <row r="4381" spans="1:2" x14ac:dyDescent="0.35">
      <c r="B4381"/>
    </row>
    <row r="4382" spans="1:2" x14ac:dyDescent="0.35">
      <c r="B4382"/>
    </row>
    <row r="4383" spans="1:2" x14ac:dyDescent="0.35">
      <c r="B4383"/>
    </row>
    <row r="4384" spans="1:2" x14ac:dyDescent="0.35">
      <c r="B4384"/>
    </row>
    <row r="4385" spans="2:2" x14ac:dyDescent="0.35">
      <c r="B4385"/>
    </row>
    <row r="4386" spans="2:2" x14ac:dyDescent="0.35">
      <c r="B4386"/>
    </row>
    <row r="4387" spans="2:2" x14ac:dyDescent="0.35">
      <c r="B4387"/>
    </row>
    <row r="4388" spans="2:2" x14ac:dyDescent="0.35">
      <c r="B4388"/>
    </row>
    <row r="4389" spans="2:2" x14ac:dyDescent="0.35">
      <c r="B4389"/>
    </row>
    <row r="4390" spans="2:2" x14ac:dyDescent="0.35">
      <c r="B4390"/>
    </row>
    <row r="4391" spans="2:2" x14ac:dyDescent="0.35">
      <c r="B4391"/>
    </row>
    <row r="4392" spans="2:2" x14ac:dyDescent="0.35">
      <c r="B4392"/>
    </row>
    <row r="4393" spans="2:2" x14ac:dyDescent="0.35">
      <c r="B4393"/>
    </row>
    <row r="4394" spans="2:2" x14ac:dyDescent="0.35">
      <c r="B4394"/>
    </row>
    <row r="4395" spans="2:2" x14ac:dyDescent="0.35">
      <c r="B4395"/>
    </row>
    <row r="4396" spans="2:2" x14ac:dyDescent="0.35">
      <c r="B4396"/>
    </row>
    <row r="4397" spans="2:2" x14ac:dyDescent="0.35">
      <c r="B4397"/>
    </row>
    <row r="4398" spans="2:2" x14ac:dyDescent="0.35">
      <c r="B4398"/>
    </row>
    <row r="4399" spans="2:2" x14ac:dyDescent="0.35">
      <c r="B4399"/>
    </row>
    <row r="4400" spans="2:2" x14ac:dyDescent="0.35">
      <c r="B4400"/>
    </row>
    <row r="4401" spans="1:2" ht="15.5" x14ac:dyDescent="0.35">
      <c r="A4401" s="49"/>
      <c r="B4401" s="49"/>
    </row>
    <row r="4402" spans="1:2" x14ac:dyDescent="0.35">
      <c r="B4402"/>
    </row>
    <row r="4403" spans="1:2" x14ac:dyDescent="0.35">
      <c r="B4403"/>
    </row>
    <row r="4404" spans="1:2" x14ac:dyDescent="0.35">
      <c r="B4404"/>
    </row>
    <row r="4405" spans="1:2" x14ac:dyDescent="0.35">
      <c r="B4405"/>
    </row>
    <row r="4406" spans="1:2" x14ac:dyDescent="0.35">
      <c r="B4406"/>
    </row>
    <row r="4407" spans="1:2" x14ac:dyDescent="0.35">
      <c r="B4407"/>
    </row>
    <row r="4408" spans="1:2" x14ac:dyDescent="0.35">
      <c r="B4408"/>
    </row>
    <row r="4409" spans="1:2" x14ac:dyDescent="0.35">
      <c r="B4409"/>
    </row>
    <row r="4410" spans="1:2" x14ac:dyDescent="0.35">
      <c r="B4410"/>
    </row>
    <row r="4411" spans="1:2" ht="15.5" x14ac:dyDescent="0.35">
      <c r="A4411" s="49"/>
      <c r="B4411"/>
    </row>
    <row r="4412" spans="1:2" x14ac:dyDescent="0.35">
      <c r="B4412"/>
    </row>
    <row r="4413" spans="1:2" x14ac:dyDescent="0.35">
      <c r="B4413"/>
    </row>
    <row r="4414" spans="1:2" x14ac:dyDescent="0.35">
      <c r="B4414"/>
    </row>
    <row r="4415" spans="1:2" x14ac:dyDescent="0.35">
      <c r="B4415"/>
    </row>
    <row r="4416" spans="1:2" x14ac:dyDescent="0.35">
      <c r="B4416"/>
    </row>
    <row r="4417" spans="2:2" x14ac:dyDescent="0.35">
      <c r="B4417"/>
    </row>
    <row r="4418" spans="2:2" x14ac:dyDescent="0.35">
      <c r="B4418"/>
    </row>
    <row r="4419" spans="2:2" x14ac:dyDescent="0.35">
      <c r="B4419"/>
    </row>
    <row r="4420" spans="2:2" x14ac:dyDescent="0.35">
      <c r="B4420"/>
    </row>
    <row r="4421" spans="2:2" x14ac:dyDescent="0.35">
      <c r="B4421"/>
    </row>
    <row r="4422" spans="2:2" x14ac:dyDescent="0.35">
      <c r="B4422"/>
    </row>
    <row r="4423" spans="2:2" x14ac:dyDescent="0.35">
      <c r="B4423"/>
    </row>
    <row r="4424" spans="2:2" x14ac:dyDescent="0.35">
      <c r="B4424"/>
    </row>
    <row r="4425" spans="2:2" x14ac:dyDescent="0.35">
      <c r="B4425"/>
    </row>
    <row r="4426" spans="2:2" x14ac:dyDescent="0.35">
      <c r="B4426"/>
    </row>
    <row r="4427" spans="2:2" x14ac:dyDescent="0.35">
      <c r="B4427"/>
    </row>
    <row r="4428" spans="2:2" x14ac:dyDescent="0.35">
      <c r="B4428"/>
    </row>
    <row r="4429" spans="2:2" x14ac:dyDescent="0.35">
      <c r="B4429"/>
    </row>
    <row r="4430" spans="2:2" x14ac:dyDescent="0.35">
      <c r="B4430"/>
    </row>
    <row r="4431" spans="2:2" x14ac:dyDescent="0.35">
      <c r="B4431"/>
    </row>
    <row r="4432" spans="2:2" x14ac:dyDescent="0.35">
      <c r="B4432"/>
    </row>
    <row r="4433" spans="1:2" x14ac:dyDescent="0.35">
      <c r="B4433"/>
    </row>
    <row r="4434" spans="1:2" x14ac:dyDescent="0.35">
      <c r="B4434"/>
    </row>
    <row r="4435" spans="1:2" x14ac:dyDescent="0.35">
      <c r="B4435"/>
    </row>
    <row r="4436" spans="1:2" x14ac:dyDescent="0.35">
      <c r="B4436"/>
    </row>
    <row r="4437" spans="1:2" x14ac:dyDescent="0.35">
      <c r="B4437"/>
    </row>
    <row r="4438" spans="1:2" x14ac:dyDescent="0.35">
      <c r="B4438"/>
    </row>
    <row r="4439" spans="1:2" ht="15.5" x14ac:dyDescent="0.35">
      <c r="A4439" s="49"/>
      <c r="B4439" s="49"/>
    </row>
    <row r="4440" spans="1:2" x14ac:dyDescent="0.35">
      <c r="B4440"/>
    </row>
    <row r="4441" spans="1:2" x14ac:dyDescent="0.35">
      <c r="B4441"/>
    </row>
    <row r="4442" spans="1:2" x14ac:dyDescent="0.35">
      <c r="B4442"/>
    </row>
    <row r="4443" spans="1:2" x14ac:dyDescent="0.35">
      <c r="B4443"/>
    </row>
    <row r="4444" spans="1:2" x14ac:dyDescent="0.35">
      <c r="B4444"/>
    </row>
    <row r="4445" spans="1:2" x14ac:dyDescent="0.35">
      <c r="B4445"/>
    </row>
    <row r="4446" spans="1:2" x14ac:dyDescent="0.35">
      <c r="B4446"/>
    </row>
    <row r="4447" spans="1:2" x14ac:dyDescent="0.35">
      <c r="B4447"/>
    </row>
    <row r="4448" spans="1:2" x14ac:dyDescent="0.35">
      <c r="B4448"/>
    </row>
    <row r="4449" spans="1:2" ht="15.5" x14ac:dyDescent="0.35">
      <c r="A4449" s="49"/>
      <c r="B4449"/>
    </row>
    <row r="4450" spans="1:2" x14ac:dyDescent="0.35">
      <c r="B4450"/>
    </row>
    <row r="4451" spans="1:2" x14ac:dyDescent="0.35">
      <c r="B4451"/>
    </row>
    <row r="4452" spans="1:2" x14ac:dyDescent="0.35">
      <c r="B4452"/>
    </row>
    <row r="4453" spans="1:2" x14ac:dyDescent="0.35">
      <c r="B4453"/>
    </row>
    <row r="4454" spans="1:2" x14ac:dyDescent="0.35">
      <c r="B4454"/>
    </row>
    <row r="4455" spans="1:2" x14ac:dyDescent="0.35">
      <c r="B4455"/>
    </row>
    <row r="4456" spans="1:2" x14ac:dyDescent="0.35">
      <c r="B4456"/>
    </row>
    <row r="4457" spans="1:2" x14ac:dyDescent="0.35">
      <c r="B4457"/>
    </row>
    <row r="4458" spans="1:2" x14ac:dyDescent="0.35">
      <c r="B4458"/>
    </row>
    <row r="4459" spans="1:2" x14ac:dyDescent="0.35">
      <c r="B4459"/>
    </row>
    <row r="4460" spans="1:2" x14ac:dyDescent="0.35">
      <c r="B4460"/>
    </row>
    <row r="4461" spans="1:2" x14ac:dyDescent="0.35">
      <c r="B4461"/>
    </row>
    <row r="4462" spans="1:2" x14ac:dyDescent="0.35">
      <c r="B4462"/>
    </row>
    <row r="4463" spans="1:2" x14ac:dyDescent="0.35">
      <c r="B4463"/>
    </row>
    <row r="4464" spans="1:2" x14ac:dyDescent="0.35">
      <c r="B4464"/>
    </row>
    <row r="4465" spans="1:2" x14ac:dyDescent="0.35">
      <c r="B4465"/>
    </row>
    <row r="4466" spans="1:2" x14ac:dyDescent="0.35">
      <c r="B4466"/>
    </row>
    <row r="4467" spans="1:2" x14ac:dyDescent="0.35">
      <c r="B4467"/>
    </row>
    <row r="4468" spans="1:2" x14ac:dyDescent="0.35">
      <c r="B4468"/>
    </row>
    <row r="4469" spans="1:2" x14ac:dyDescent="0.35">
      <c r="B4469"/>
    </row>
    <row r="4470" spans="1:2" x14ac:dyDescent="0.35">
      <c r="B4470"/>
    </row>
    <row r="4471" spans="1:2" x14ac:dyDescent="0.35">
      <c r="B4471"/>
    </row>
    <row r="4472" spans="1:2" x14ac:dyDescent="0.35">
      <c r="B4472"/>
    </row>
    <row r="4473" spans="1:2" x14ac:dyDescent="0.35">
      <c r="B4473"/>
    </row>
    <row r="4474" spans="1:2" x14ac:dyDescent="0.35">
      <c r="B4474"/>
    </row>
    <row r="4475" spans="1:2" x14ac:dyDescent="0.35">
      <c r="B4475"/>
    </row>
    <row r="4476" spans="1:2" x14ac:dyDescent="0.35">
      <c r="B4476"/>
    </row>
    <row r="4477" spans="1:2" ht="15.5" x14ac:dyDescent="0.35">
      <c r="A4477" s="49"/>
      <c r="B4477" s="49"/>
    </row>
    <row r="4478" spans="1:2" x14ac:dyDescent="0.35">
      <c r="B4478"/>
    </row>
    <row r="4479" spans="1:2" x14ac:dyDescent="0.35">
      <c r="B4479"/>
    </row>
    <row r="4480" spans="1:2" x14ac:dyDescent="0.35">
      <c r="B4480"/>
    </row>
    <row r="4481" spans="1:2" x14ac:dyDescent="0.35">
      <c r="B4481"/>
    </row>
    <row r="4482" spans="1:2" x14ac:dyDescent="0.35">
      <c r="B4482"/>
    </row>
    <row r="4483" spans="1:2" x14ac:dyDescent="0.35">
      <c r="B4483"/>
    </row>
    <row r="4484" spans="1:2" x14ac:dyDescent="0.35">
      <c r="B4484"/>
    </row>
    <row r="4485" spans="1:2" x14ac:dyDescent="0.35">
      <c r="B4485"/>
    </row>
    <row r="4486" spans="1:2" x14ac:dyDescent="0.35">
      <c r="B4486"/>
    </row>
    <row r="4487" spans="1:2" ht="15.5" x14ac:dyDescent="0.35">
      <c r="A4487" s="49"/>
      <c r="B4487"/>
    </row>
    <row r="4488" spans="1:2" x14ac:dyDescent="0.35">
      <c r="B4488"/>
    </row>
    <row r="4489" spans="1:2" x14ac:dyDescent="0.35">
      <c r="B4489"/>
    </row>
    <row r="4490" spans="1:2" x14ac:dyDescent="0.35">
      <c r="B4490"/>
    </row>
    <row r="4491" spans="1:2" x14ac:dyDescent="0.35">
      <c r="B4491"/>
    </row>
    <row r="4492" spans="1:2" x14ac:dyDescent="0.35">
      <c r="B4492"/>
    </row>
    <row r="4493" spans="1:2" x14ac:dyDescent="0.35">
      <c r="B4493"/>
    </row>
    <row r="4494" spans="1:2" x14ac:dyDescent="0.35">
      <c r="B4494"/>
    </row>
    <row r="4495" spans="1:2" x14ac:dyDescent="0.35">
      <c r="B4495"/>
    </row>
    <row r="4496" spans="1:2" x14ac:dyDescent="0.35">
      <c r="B4496"/>
    </row>
    <row r="4497" spans="2:2" x14ac:dyDescent="0.35">
      <c r="B4497"/>
    </row>
    <row r="4498" spans="2:2" x14ac:dyDescent="0.35">
      <c r="B4498"/>
    </row>
    <row r="4499" spans="2:2" x14ac:dyDescent="0.35">
      <c r="B4499"/>
    </row>
    <row r="4500" spans="2:2" x14ac:dyDescent="0.35">
      <c r="B4500"/>
    </row>
    <row r="4501" spans="2:2" x14ac:dyDescent="0.35">
      <c r="B4501"/>
    </row>
    <row r="4502" spans="2:2" x14ac:dyDescent="0.35">
      <c r="B4502"/>
    </row>
    <row r="4503" spans="2:2" x14ac:dyDescent="0.35">
      <c r="B4503"/>
    </row>
    <row r="4504" spans="2:2" x14ac:dyDescent="0.35">
      <c r="B4504"/>
    </row>
    <row r="4505" spans="2:2" x14ac:dyDescent="0.35">
      <c r="B4505"/>
    </row>
    <row r="4506" spans="2:2" x14ac:dyDescent="0.35">
      <c r="B4506"/>
    </row>
    <row r="4507" spans="2:2" x14ac:dyDescent="0.35">
      <c r="B4507"/>
    </row>
    <row r="4508" spans="2:2" x14ac:dyDescent="0.35">
      <c r="B4508"/>
    </row>
    <row r="4509" spans="2:2" x14ac:dyDescent="0.35">
      <c r="B4509"/>
    </row>
    <row r="4510" spans="2:2" x14ac:dyDescent="0.35">
      <c r="B4510"/>
    </row>
    <row r="4511" spans="2:2" x14ac:dyDescent="0.35">
      <c r="B4511"/>
    </row>
    <row r="4512" spans="2:2" x14ac:dyDescent="0.35">
      <c r="B4512"/>
    </row>
    <row r="4513" spans="1:2" x14ac:dyDescent="0.35">
      <c r="B4513"/>
    </row>
    <row r="4514" spans="1:2" x14ac:dyDescent="0.35">
      <c r="B4514"/>
    </row>
    <row r="4515" spans="1:2" ht="15.5" x14ac:dyDescent="0.35">
      <c r="A4515" s="49"/>
      <c r="B4515" s="49"/>
    </row>
    <row r="4516" spans="1:2" x14ac:dyDescent="0.35">
      <c r="B4516"/>
    </row>
    <row r="4517" spans="1:2" x14ac:dyDescent="0.35">
      <c r="B4517"/>
    </row>
    <row r="4518" spans="1:2" x14ac:dyDescent="0.35">
      <c r="B4518"/>
    </row>
    <row r="4519" spans="1:2" x14ac:dyDescent="0.35">
      <c r="B4519"/>
    </row>
    <row r="4520" spans="1:2" x14ac:dyDescent="0.35">
      <c r="B4520"/>
    </row>
    <row r="4521" spans="1:2" x14ac:dyDescent="0.35">
      <c r="B4521"/>
    </row>
    <row r="4522" spans="1:2" x14ac:dyDescent="0.35">
      <c r="B4522"/>
    </row>
    <row r="4523" spans="1:2" x14ac:dyDescent="0.35">
      <c r="B4523"/>
    </row>
    <row r="4524" spans="1:2" x14ac:dyDescent="0.35">
      <c r="B4524"/>
    </row>
    <row r="4525" spans="1:2" ht="15.5" x14ac:dyDescent="0.35">
      <c r="A4525" s="49"/>
      <c r="B4525"/>
    </row>
    <row r="4526" spans="1:2" x14ac:dyDescent="0.35">
      <c r="B4526"/>
    </row>
    <row r="4527" spans="1:2" x14ac:dyDescent="0.35">
      <c r="B4527"/>
    </row>
    <row r="4528" spans="1:2" x14ac:dyDescent="0.35">
      <c r="B4528"/>
    </row>
    <row r="4529" spans="1:2" x14ac:dyDescent="0.35">
      <c r="B4529"/>
    </row>
    <row r="4530" spans="1:2" x14ac:dyDescent="0.35">
      <c r="B4530"/>
    </row>
    <row r="4531" spans="1:2" x14ac:dyDescent="0.35">
      <c r="B4531"/>
    </row>
    <row r="4532" spans="1:2" x14ac:dyDescent="0.35">
      <c r="B4532"/>
    </row>
    <row r="4533" spans="1:2" ht="15.5" x14ac:dyDescent="0.35">
      <c r="A4533" s="49"/>
      <c r="B4533" s="49"/>
    </row>
    <row r="4534" spans="1:2" x14ac:dyDescent="0.35">
      <c r="B4534"/>
    </row>
    <row r="4535" spans="1:2" x14ac:dyDescent="0.35">
      <c r="B4535"/>
    </row>
    <row r="4536" spans="1:2" x14ac:dyDescent="0.35">
      <c r="B4536"/>
    </row>
    <row r="4537" spans="1:2" x14ac:dyDescent="0.35">
      <c r="B4537"/>
    </row>
    <row r="4538" spans="1:2" x14ac:dyDescent="0.35">
      <c r="B4538"/>
    </row>
    <row r="4539" spans="1:2" x14ac:dyDescent="0.35">
      <c r="B4539"/>
    </row>
    <row r="4540" spans="1:2" x14ac:dyDescent="0.35">
      <c r="B4540"/>
    </row>
    <row r="4541" spans="1:2" x14ac:dyDescent="0.35">
      <c r="B4541"/>
    </row>
    <row r="4542" spans="1:2" x14ac:dyDescent="0.35">
      <c r="B4542"/>
    </row>
    <row r="4543" spans="1:2" ht="15.5" x14ac:dyDescent="0.35">
      <c r="A4543" s="49"/>
      <c r="B4543"/>
    </row>
    <row r="4544" spans="1:2" x14ac:dyDescent="0.35">
      <c r="B4544"/>
    </row>
    <row r="4545" spans="1:2" x14ac:dyDescent="0.35">
      <c r="B4545"/>
    </row>
    <row r="4546" spans="1:2" x14ac:dyDescent="0.35">
      <c r="B4546"/>
    </row>
    <row r="4547" spans="1:2" x14ac:dyDescent="0.35">
      <c r="B4547"/>
    </row>
    <row r="4548" spans="1:2" x14ac:dyDescent="0.35">
      <c r="B4548"/>
    </row>
    <row r="4549" spans="1:2" x14ac:dyDescent="0.35">
      <c r="B4549"/>
    </row>
    <row r="4550" spans="1:2" x14ac:dyDescent="0.35">
      <c r="B4550"/>
    </row>
    <row r="4551" spans="1:2" x14ac:dyDescent="0.35">
      <c r="B4551"/>
    </row>
    <row r="4552" spans="1:2" ht="15.5" x14ac:dyDescent="0.35">
      <c r="A4552" s="49"/>
      <c r="B4552" s="49"/>
    </row>
    <row r="4553" spans="1:2" x14ac:dyDescent="0.35">
      <c r="B4553"/>
    </row>
    <row r="4554" spans="1:2" x14ac:dyDescent="0.35">
      <c r="B4554"/>
    </row>
    <row r="4555" spans="1:2" x14ac:dyDescent="0.35">
      <c r="B4555"/>
    </row>
    <row r="4556" spans="1:2" x14ac:dyDescent="0.35">
      <c r="B4556"/>
    </row>
    <row r="4557" spans="1:2" x14ac:dyDescent="0.35">
      <c r="B4557"/>
    </row>
    <row r="4558" spans="1:2" x14ac:dyDescent="0.35">
      <c r="B4558"/>
    </row>
    <row r="4559" spans="1:2" x14ac:dyDescent="0.35">
      <c r="B4559"/>
    </row>
    <row r="4560" spans="1:2" x14ac:dyDescent="0.35">
      <c r="B4560"/>
    </row>
    <row r="4561" spans="1:2" x14ac:dyDescent="0.35">
      <c r="B4561"/>
    </row>
    <row r="4562" spans="1:2" ht="15.5" x14ac:dyDescent="0.35">
      <c r="A4562" s="49"/>
      <c r="B4562"/>
    </row>
    <row r="4563" spans="1:2" x14ac:dyDescent="0.35">
      <c r="B4563"/>
    </row>
    <row r="4564" spans="1:2" x14ac:dyDescent="0.35">
      <c r="B4564"/>
    </row>
    <row r="4565" spans="1:2" x14ac:dyDescent="0.35">
      <c r="B4565"/>
    </row>
    <row r="4566" spans="1:2" x14ac:dyDescent="0.35">
      <c r="B4566"/>
    </row>
    <row r="4567" spans="1:2" x14ac:dyDescent="0.35">
      <c r="B4567"/>
    </row>
    <row r="4568" spans="1:2" x14ac:dyDescent="0.35">
      <c r="B4568"/>
    </row>
    <row r="4569" spans="1:2" x14ac:dyDescent="0.35">
      <c r="B4569"/>
    </row>
    <row r="4570" spans="1:2" x14ac:dyDescent="0.35">
      <c r="B4570"/>
    </row>
    <row r="4571" spans="1:2" ht="15.5" x14ac:dyDescent="0.35">
      <c r="A4571" s="49"/>
      <c r="B4571" s="49"/>
    </row>
    <row r="4572" spans="1:2" x14ac:dyDescent="0.35">
      <c r="B4572"/>
    </row>
    <row r="4573" spans="1:2" x14ac:dyDescent="0.35">
      <c r="B4573"/>
    </row>
    <row r="4574" spans="1:2" x14ac:dyDescent="0.35">
      <c r="B4574"/>
    </row>
    <row r="4575" spans="1:2" x14ac:dyDescent="0.35">
      <c r="B4575"/>
    </row>
    <row r="4576" spans="1:2" x14ac:dyDescent="0.35">
      <c r="B4576"/>
    </row>
    <row r="4577" spans="1:2" x14ac:dyDescent="0.35">
      <c r="B4577"/>
    </row>
    <row r="4578" spans="1:2" x14ac:dyDescent="0.35">
      <c r="B4578"/>
    </row>
    <row r="4579" spans="1:2" x14ac:dyDescent="0.35">
      <c r="B4579"/>
    </row>
    <row r="4580" spans="1:2" x14ac:dyDescent="0.35">
      <c r="B4580"/>
    </row>
    <row r="4581" spans="1:2" ht="15.5" x14ac:dyDescent="0.35">
      <c r="A4581" s="49"/>
      <c r="B4581"/>
    </row>
    <row r="4582" spans="1:2" x14ac:dyDescent="0.35">
      <c r="B4582"/>
    </row>
    <row r="4583" spans="1:2" x14ac:dyDescent="0.35">
      <c r="B4583"/>
    </row>
    <row r="4584" spans="1:2" x14ac:dyDescent="0.35">
      <c r="B4584"/>
    </row>
    <row r="4585" spans="1:2" x14ac:dyDescent="0.35">
      <c r="B4585"/>
    </row>
    <row r="4586" spans="1:2" x14ac:dyDescent="0.35">
      <c r="B4586"/>
    </row>
    <row r="4587" spans="1:2" x14ac:dyDescent="0.35">
      <c r="B4587"/>
    </row>
    <row r="4588" spans="1:2" x14ac:dyDescent="0.35">
      <c r="B4588"/>
    </row>
    <row r="4589" spans="1:2" x14ac:dyDescent="0.35">
      <c r="B4589"/>
    </row>
    <row r="4590" spans="1:2" x14ac:dyDescent="0.35">
      <c r="B4590"/>
    </row>
    <row r="4591" spans="1:2" x14ac:dyDescent="0.35">
      <c r="B4591"/>
    </row>
    <row r="4592" spans="1:2" x14ac:dyDescent="0.35">
      <c r="B4592"/>
    </row>
    <row r="4593" spans="1:2" x14ac:dyDescent="0.35">
      <c r="B4593"/>
    </row>
    <row r="4594" spans="1:2" x14ac:dyDescent="0.35">
      <c r="B4594"/>
    </row>
    <row r="4595" spans="1:2" x14ac:dyDescent="0.35">
      <c r="B4595"/>
    </row>
    <row r="4596" spans="1:2" x14ac:dyDescent="0.35">
      <c r="B4596"/>
    </row>
    <row r="4597" spans="1:2" x14ac:dyDescent="0.35">
      <c r="B4597"/>
    </row>
    <row r="4598" spans="1:2" x14ac:dyDescent="0.35">
      <c r="B4598"/>
    </row>
    <row r="4599" spans="1:2" ht="15.5" x14ac:dyDescent="0.35">
      <c r="A4599" s="49"/>
      <c r="B4599" s="49"/>
    </row>
    <row r="4600" spans="1:2" x14ac:dyDescent="0.35">
      <c r="B4600"/>
    </row>
    <row r="4601" spans="1:2" x14ac:dyDescent="0.35">
      <c r="B4601"/>
    </row>
    <row r="4602" spans="1:2" x14ac:dyDescent="0.35">
      <c r="B4602"/>
    </row>
    <row r="4603" spans="1:2" x14ac:dyDescent="0.35">
      <c r="B4603"/>
    </row>
    <row r="4604" spans="1:2" x14ac:dyDescent="0.35">
      <c r="B4604"/>
    </row>
    <row r="4605" spans="1:2" x14ac:dyDescent="0.35">
      <c r="B4605"/>
    </row>
    <row r="4606" spans="1:2" x14ac:dyDescent="0.35">
      <c r="B4606"/>
    </row>
    <row r="4607" spans="1:2" x14ac:dyDescent="0.35">
      <c r="B4607"/>
    </row>
    <row r="4608" spans="1:2" x14ac:dyDescent="0.35">
      <c r="B4608"/>
    </row>
    <row r="4609" spans="1:2" ht="15.5" x14ac:dyDescent="0.35">
      <c r="A4609" s="49"/>
      <c r="B4609"/>
    </row>
    <row r="4610" spans="1:2" x14ac:dyDescent="0.35">
      <c r="B4610"/>
    </row>
    <row r="4611" spans="1:2" x14ac:dyDescent="0.35">
      <c r="B4611"/>
    </row>
    <row r="4612" spans="1:2" x14ac:dyDescent="0.35">
      <c r="B4612"/>
    </row>
    <row r="4613" spans="1:2" x14ac:dyDescent="0.35">
      <c r="B4613"/>
    </row>
    <row r="4614" spans="1:2" x14ac:dyDescent="0.35">
      <c r="B4614"/>
    </row>
    <row r="4615" spans="1:2" x14ac:dyDescent="0.35">
      <c r="B4615"/>
    </row>
    <row r="4616" spans="1:2" x14ac:dyDescent="0.35">
      <c r="B4616"/>
    </row>
    <row r="4617" spans="1:2" x14ac:dyDescent="0.35">
      <c r="B4617"/>
    </row>
    <row r="4618" spans="1:2" x14ac:dyDescent="0.35">
      <c r="B4618"/>
    </row>
    <row r="4619" spans="1:2" x14ac:dyDescent="0.35">
      <c r="B4619"/>
    </row>
    <row r="4620" spans="1:2" x14ac:dyDescent="0.35">
      <c r="B4620"/>
    </row>
    <row r="4621" spans="1:2" x14ac:dyDescent="0.35">
      <c r="B4621"/>
    </row>
    <row r="4622" spans="1:2" x14ac:dyDescent="0.35">
      <c r="B4622"/>
    </row>
    <row r="4623" spans="1:2" x14ac:dyDescent="0.35">
      <c r="B4623"/>
    </row>
    <row r="4624" spans="1:2" x14ac:dyDescent="0.35">
      <c r="B4624"/>
    </row>
    <row r="4625" spans="1:2" x14ac:dyDescent="0.35">
      <c r="B4625"/>
    </row>
    <row r="4626" spans="1:2" x14ac:dyDescent="0.35">
      <c r="B4626"/>
    </row>
    <row r="4627" spans="1:2" x14ac:dyDescent="0.35">
      <c r="B4627"/>
    </row>
    <row r="4628" spans="1:2" x14ac:dyDescent="0.35">
      <c r="B4628"/>
    </row>
    <row r="4629" spans="1:2" x14ac:dyDescent="0.35">
      <c r="B4629"/>
    </row>
    <row r="4630" spans="1:2" x14ac:dyDescent="0.35">
      <c r="B4630"/>
    </row>
    <row r="4631" spans="1:2" x14ac:dyDescent="0.35">
      <c r="B4631"/>
    </row>
    <row r="4632" spans="1:2" x14ac:dyDescent="0.35">
      <c r="B4632"/>
    </row>
    <row r="4633" spans="1:2" x14ac:dyDescent="0.35">
      <c r="B4633"/>
    </row>
    <row r="4634" spans="1:2" x14ac:dyDescent="0.35">
      <c r="B4634"/>
    </row>
    <row r="4635" spans="1:2" x14ac:dyDescent="0.35">
      <c r="B4635"/>
    </row>
    <row r="4636" spans="1:2" ht="15.5" x14ac:dyDescent="0.35">
      <c r="A4636" s="49"/>
      <c r="B4636" s="49"/>
    </row>
    <row r="4637" spans="1:2" x14ac:dyDescent="0.35">
      <c r="B4637"/>
    </row>
    <row r="4638" spans="1:2" x14ac:dyDescent="0.35">
      <c r="B4638"/>
    </row>
    <row r="4639" spans="1:2" x14ac:dyDescent="0.35">
      <c r="B4639"/>
    </row>
    <row r="4640" spans="1:2" x14ac:dyDescent="0.35">
      <c r="B4640"/>
    </row>
    <row r="4641" spans="1:2" x14ac:dyDescent="0.35">
      <c r="B4641"/>
    </row>
    <row r="4642" spans="1:2" x14ac:dyDescent="0.35">
      <c r="B4642"/>
    </row>
    <row r="4643" spans="1:2" x14ac:dyDescent="0.35">
      <c r="B4643"/>
    </row>
    <row r="4644" spans="1:2" x14ac:dyDescent="0.35">
      <c r="B4644"/>
    </row>
    <row r="4645" spans="1:2" x14ac:dyDescent="0.35">
      <c r="B4645"/>
    </row>
    <row r="4646" spans="1:2" ht="15.5" x14ac:dyDescent="0.35">
      <c r="A4646" s="49"/>
      <c r="B4646"/>
    </row>
    <row r="4647" spans="1:2" x14ac:dyDescent="0.35">
      <c r="B4647"/>
    </row>
    <row r="4648" spans="1:2" x14ac:dyDescent="0.35">
      <c r="B4648"/>
    </row>
    <row r="4649" spans="1:2" x14ac:dyDescent="0.35">
      <c r="B4649"/>
    </row>
    <row r="4650" spans="1:2" x14ac:dyDescent="0.35">
      <c r="B4650"/>
    </row>
    <row r="4651" spans="1:2" x14ac:dyDescent="0.35">
      <c r="B4651"/>
    </row>
    <row r="4652" spans="1:2" x14ac:dyDescent="0.35">
      <c r="B4652"/>
    </row>
    <row r="4653" spans="1:2" x14ac:dyDescent="0.35">
      <c r="B4653"/>
    </row>
    <row r="4654" spans="1:2" x14ac:dyDescent="0.35">
      <c r="B4654"/>
    </row>
    <row r="4655" spans="1:2" x14ac:dyDescent="0.35">
      <c r="B4655"/>
    </row>
    <row r="4656" spans="1:2" x14ac:dyDescent="0.35">
      <c r="B4656"/>
    </row>
    <row r="4657" spans="2:2" x14ac:dyDescent="0.35">
      <c r="B4657"/>
    </row>
    <row r="4658" spans="2:2" x14ac:dyDescent="0.35">
      <c r="B4658"/>
    </row>
    <row r="4659" spans="2:2" x14ac:dyDescent="0.35">
      <c r="B4659"/>
    </row>
    <row r="4660" spans="2:2" x14ac:dyDescent="0.35">
      <c r="B4660"/>
    </row>
    <row r="4661" spans="2:2" x14ac:dyDescent="0.35">
      <c r="B4661"/>
    </row>
    <row r="4662" spans="2:2" x14ac:dyDescent="0.35">
      <c r="B4662"/>
    </row>
    <row r="4663" spans="2:2" x14ac:dyDescent="0.35">
      <c r="B4663"/>
    </row>
    <row r="4664" spans="2:2" x14ac:dyDescent="0.35">
      <c r="B4664"/>
    </row>
    <row r="4665" spans="2:2" x14ac:dyDescent="0.35">
      <c r="B4665"/>
    </row>
    <row r="4666" spans="2:2" x14ac:dyDescent="0.35">
      <c r="B4666"/>
    </row>
    <row r="4667" spans="2:2" x14ac:dyDescent="0.35">
      <c r="B4667"/>
    </row>
    <row r="4668" spans="2:2" x14ac:dyDescent="0.35">
      <c r="B4668"/>
    </row>
    <row r="4669" spans="2:2" x14ac:dyDescent="0.35">
      <c r="B4669"/>
    </row>
    <row r="4670" spans="2:2" x14ac:dyDescent="0.35">
      <c r="B4670"/>
    </row>
    <row r="4671" spans="2:2" x14ac:dyDescent="0.35">
      <c r="B4671"/>
    </row>
    <row r="4672" spans="2:2" x14ac:dyDescent="0.35">
      <c r="B4672"/>
    </row>
    <row r="4673" spans="1:2" x14ac:dyDescent="0.35">
      <c r="B4673"/>
    </row>
    <row r="4674" spans="1:2" x14ac:dyDescent="0.35">
      <c r="B4674"/>
    </row>
    <row r="4675" spans="1:2" x14ac:dyDescent="0.35">
      <c r="B4675"/>
    </row>
    <row r="4676" spans="1:2" x14ac:dyDescent="0.35">
      <c r="B4676"/>
    </row>
    <row r="4677" spans="1:2" x14ac:dyDescent="0.35">
      <c r="B4677"/>
    </row>
    <row r="4678" spans="1:2" x14ac:dyDescent="0.35">
      <c r="B4678"/>
    </row>
    <row r="4679" spans="1:2" x14ac:dyDescent="0.35">
      <c r="B4679"/>
    </row>
    <row r="4680" spans="1:2" x14ac:dyDescent="0.35">
      <c r="B4680"/>
    </row>
    <row r="4681" spans="1:2" x14ac:dyDescent="0.35">
      <c r="B4681"/>
    </row>
    <row r="4682" spans="1:2" x14ac:dyDescent="0.35">
      <c r="B4682"/>
    </row>
    <row r="4683" spans="1:2" x14ac:dyDescent="0.35">
      <c r="B4683"/>
    </row>
    <row r="4684" spans="1:2" x14ac:dyDescent="0.35">
      <c r="B4684"/>
    </row>
    <row r="4685" spans="1:2" ht="15.5" x14ac:dyDescent="0.35">
      <c r="A4685" s="49"/>
      <c r="B4685" s="49"/>
    </row>
    <row r="4686" spans="1:2" x14ac:dyDescent="0.35">
      <c r="B4686"/>
    </row>
    <row r="4687" spans="1:2" x14ac:dyDescent="0.35">
      <c r="B4687"/>
    </row>
    <row r="4688" spans="1:2" x14ac:dyDescent="0.35">
      <c r="B4688"/>
    </row>
    <row r="4689" spans="1:2" x14ac:dyDescent="0.35">
      <c r="B4689"/>
    </row>
    <row r="4690" spans="1:2" x14ac:dyDescent="0.35">
      <c r="B4690"/>
    </row>
    <row r="4691" spans="1:2" x14ac:dyDescent="0.35">
      <c r="B4691"/>
    </row>
    <row r="4692" spans="1:2" x14ac:dyDescent="0.35">
      <c r="B4692"/>
    </row>
    <row r="4693" spans="1:2" x14ac:dyDescent="0.35">
      <c r="B4693"/>
    </row>
    <row r="4694" spans="1:2" x14ac:dyDescent="0.35">
      <c r="B4694"/>
    </row>
    <row r="4695" spans="1:2" ht="15.5" x14ac:dyDescent="0.35">
      <c r="A4695" s="49"/>
      <c r="B4695"/>
    </row>
    <row r="4696" spans="1:2" x14ac:dyDescent="0.35">
      <c r="B4696"/>
    </row>
    <row r="4697" spans="1:2" x14ac:dyDescent="0.35">
      <c r="B4697"/>
    </row>
    <row r="4698" spans="1:2" x14ac:dyDescent="0.35">
      <c r="B4698"/>
    </row>
    <row r="4699" spans="1:2" x14ac:dyDescent="0.35">
      <c r="B4699"/>
    </row>
    <row r="4700" spans="1:2" x14ac:dyDescent="0.35">
      <c r="B4700"/>
    </row>
    <row r="4701" spans="1:2" x14ac:dyDescent="0.35">
      <c r="B4701"/>
    </row>
    <row r="4702" spans="1:2" x14ac:dyDescent="0.35">
      <c r="B4702"/>
    </row>
    <row r="4703" spans="1:2" x14ac:dyDescent="0.35">
      <c r="B4703"/>
    </row>
    <row r="4704" spans="1:2" x14ac:dyDescent="0.35">
      <c r="B4704"/>
    </row>
    <row r="4705" spans="1:2" x14ac:dyDescent="0.35">
      <c r="B4705"/>
    </row>
    <row r="4706" spans="1:2" x14ac:dyDescent="0.35">
      <c r="B4706"/>
    </row>
    <row r="4707" spans="1:2" x14ac:dyDescent="0.35">
      <c r="B4707"/>
    </row>
    <row r="4708" spans="1:2" x14ac:dyDescent="0.35">
      <c r="B4708"/>
    </row>
    <row r="4709" spans="1:2" x14ac:dyDescent="0.35">
      <c r="B4709"/>
    </row>
    <row r="4710" spans="1:2" x14ac:dyDescent="0.35">
      <c r="B4710"/>
    </row>
    <row r="4711" spans="1:2" x14ac:dyDescent="0.35">
      <c r="B4711"/>
    </row>
    <row r="4712" spans="1:2" x14ac:dyDescent="0.35">
      <c r="B4712"/>
    </row>
    <row r="4713" spans="1:2" x14ac:dyDescent="0.35">
      <c r="B4713"/>
    </row>
    <row r="4714" spans="1:2" ht="15.5" x14ac:dyDescent="0.35">
      <c r="A4714" s="49"/>
      <c r="B4714" s="49"/>
    </row>
    <row r="4715" spans="1:2" x14ac:dyDescent="0.35">
      <c r="B4715"/>
    </row>
    <row r="4716" spans="1:2" x14ac:dyDescent="0.35">
      <c r="B4716"/>
    </row>
    <row r="4717" spans="1:2" x14ac:dyDescent="0.35">
      <c r="B4717"/>
    </row>
    <row r="4718" spans="1:2" x14ac:dyDescent="0.35">
      <c r="B4718"/>
    </row>
    <row r="4719" spans="1:2" x14ac:dyDescent="0.35">
      <c r="B4719"/>
    </row>
    <row r="4720" spans="1:2" x14ac:dyDescent="0.35">
      <c r="B4720"/>
    </row>
    <row r="4721" spans="1:2" x14ac:dyDescent="0.35">
      <c r="B4721"/>
    </row>
    <row r="4722" spans="1:2" x14ac:dyDescent="0.35">
      <c r="B4722"/>
    </row>
    <row r="4723" spans="1:2" x14ac:dyDescent="0.35">
      <c r="B4723"/>
    </row>
    <row r="4724" spans="1:2" ht="15.5" x14ac:dyDescent="0.35">
      <c r="A4724" s="49"/>
      <c r="B4724"/>
    </row>
    <row r="4725" spans="1:2" x14ac:dyDescent="0.35">
      <c r="B4725"/>
    </row>
    <row r="4726" spans="1:2" x14ac:dyDescent="0.35">
      <c r="B4726"/>
    </row>
    <row r="4727" spans="1:2" x14ac:dyDescent="0.35">
      <c r="B4727"/>
    </row>
    <row r="4728" spans="1:2" x14ac:dyDescent="0.35">
      <c r="B4728"/>
    </row>
    <row r="4729" spans="1:2" x14ac:dyDescent="0.35">
      <c r="B4729"/>
    </row>
    <row r="4730" spans="1:2" x14ac:dyDescent="0.35">
      <c r="B4730"/>
    </row>
    <row r="4731" spans="1:2" x14ac:dyDescent="0.35">
      <c r="B4731"/>
    </row>
    <row r="4732" spans="1:2" x14ac:dyDescent="0.35">
      <c r="B4732"/>
    </row>
    <row r="4733" spans="1:2" x14ac:dyDescent="0.35">
      <c r="B4733"/>
    </row>
    <row r="4734" spans="1:2" x14ac:dyDescent="0.35">
      <c r="B4734"/>
    </row>
    <row r="4735" spans="1:2" x14ac:dyDescent="0.35">
      <c r="B4735"/>
    </row>
    <row r="4736" spans="1:2" x14ac:dyDescent="0.35">
      <c r="B4736"/>
    </row>
    <row r="4737" spans="2:2" x14ac:dyDescent="0.35">
      <c r="B4737"/>
    </row>
    <row r="4738" spans="2:2" x14ac:dyDescent="0.35">
      <c r="B4738"/>
    </row>
    <row r="4739" spans="2:2" x14ac:dyDescent="0.35">
      <c r="B4739"/>
    </row>
    <row r="4740" spans="2:2" x14ac:dyDescent="0.35">
      <c r="B4740"/>
    </row>
    <row r="4741" spans="2:2" x14ac:dyDescent="0.35">
      <c r="B4741"/>
    </row>
    <row r="4742" spans="2:2" x14ac:dyDescent="0.35">
      <c r="B4742"/>
    </row>
    <row r="4743" spans="2:2" x14ac:dyDescent="0.35">
      <c r="B4743"/>
    </row>
    <row r="4744" spans="2:2" x14ac:dyDescent="0.35">
      <c r="B4744"/>
    </row>
    <row r="4745" spans="2:2" x14ac:dyDescent="0.35">
      <c r="B4745"/>
    </row>
    <row r="4746" spans="2:2" x14ac:dyDescent="0.35">
      <c r="B4746"/>
    </row>
    <row r="4747" spans="2:2" x14ac:dyDescent="0.35">
      <c r="B4747"/>
    </row>
    <row r="4748" spans="2:2" x14ac:dyDescent="0.35">
      <c r="B4748"/>
    </row>
    <row r="4749" spans="2:2" x14ac:dyDescent="0.35">
      <c r="B4749"/>
    </row>
    <row r="4750" spans="2:2" x14ac:dyDescent="0.35">
      <c r="B4750"/>
    </row>
    <row r="4751" spans="2:2" x14ac:dyDescent="0.35">
      <c r="B4751"/>
    </row>
    <row r="4752" spans="2:2" x14ac:dyDescent="0.35">
      <c r="B4752"/>
    </row>
    <row r="4753" spans="2:2" x14ac:dyDescent="0.35">
      <c r="B4753"/>
    </row>
    <row r="4754" spans="2:2" x14ac:dyDescent="0.35">
      <c r="B4754"/>
    </row>
    <row r="4755" spans="2:2" x14ac:dyDescent="0.35">
      <c r="B4755"/>
    </row>
    <row r="4756" spans="2:2" x14ac:dyDescent="0.35">
      <c r="B4756"/>
    </row>
    <row r="4757" spans="2:2" x14ac:dyDescent="0.35">
      <c r="B4757"/>
    </row>
    <row r="4758" spans="2:2" x14ac:dyDescent="0.35">
      <c r="B4758"/>
    </row>
    <row r="4759" spans="2:2" x14ac:dyDescent="0.35">
      <c r="B4759"/>
    </row>
    <row r="4760" spans="2:2" x14ac:dyDescent="0.35">
      <c r="B4760"/>
    </row>
    <row r="4761" spans="2:2" x14ac:dyDescent="0.35">
      <c r="B4761"/>
    </row>
    <row r="4762" spans="2:2" x14ac:dyDescent="0.35">
      <c r="B4762"/>
    </row>
    <row r="4763" spans="2:2" x14ac:dyDescent="0.35">
      <c r="B4763"/>
    </row>
    <row r="4764" spans="2:2" x14ac:dyDescent="0.35">
      <c r="B4764"/>
    </row>
    <row r="4765" spans="2:2" x14ac:dyDescent="0.35">
      <c r="B4765"/>
    </row>
    <row r="4766" spans="2:2" x14ac:dyDescent="0.35">
      <c r="B4766"/>
    </row>
    <row r="4767" spans="2:2" x14ac:dyDescent="0.35">
      <c r="B4767"/>
    </row>
    <row r="4768" spans="2:2" x14ac:dyDescent="0.35">
      <c r="B4768"/>
    </row>
    <row r="4769" spans="1:2" x14ac:dyDescent="0.35">
      <c r="B4769"/>
    </row>
    <row r="4770" spans="1:2" x14ac:dyDescent="0.35">
      <c r="B4770"/>
    </row>
    <row r="4771" spans="1:2" x14ac:dyDescent="0.35">
      <c r="B4771"/>
    </row>
    <row r="4772" spans="1:2" x14ac:dyDescent="0.35">
      <c r="B4772"/>
    </row>
    <row r="4773" spans="1:2" x14ac:dyDescent="0.35">
      <c r="B4773"/>
    </row>
    <row r="4774" spans="1:2" x14ac:dyDescent="0.35">
      <c r="B4774"/>
    </row>
    <row r="4775" spans="1:2" x14ac:dyDescent="0.35">
      <c r="B4775"/>
    </row>
    <row r="4776" spans="1:2" x14ac:dyDescent="0.35">
      <c r="B4776"/>
    </row>
    <row r="4777" spans="1:2" ht="15.5" x14ac:dyDescent="0.35">
      <c r="A4777" s="49"/>
      <c r="B4777" s="49"/>
    </row>
    <row r="4778" spans="1:2" x14ac:dyDescent="0.35">
      <c r="B4778"/>
    </row>
    <row r="4779" spans="1:2" x14ac:dyDescent="0.35">
      <c r="B4779"/>
    </row>
    <row r="4780" spans="1:2" x14ac:dyDescent="0.35">
      <c r="B4780"/>
    </row>
    <row r="4781" spans="1:2" x14ac:dyDescent="0.35">
      <c r="B4781"/>
    </row>
    <row r="4782" spans="1:2" x14ac:dyDescent="0.35">
      <c r="B4782"/>
    </row>
    <row r="4783" spans="1:2" x14ac:dyDescent="0.35">
      <c r="B4783"/>
    </row>
    <row r="4784" spans="1:2" x14ac:dyDescent="0.35">
      <c r="B4784"/>
    </row>
    <row r="4785" spans="1:2" x14ac:dyDescent="0.35">
      <c r="B4785"/>
    </row>
    <row r="4786" spans="1:2" x14ac:dyDescent="0.35">
      <c r="B4786"/>
    </row>
    <row r="4787" spans="1:2" ht="15.5" x14ac:dyDescent="0.35">
      <c r="A4787" s="49"/>
      <c r="B4787"/>
    </row>
    <row r="4788" spans="1:2" x14ac:dyDescent="0.35">
      <c r="B4788"/>
    </row>
    <row r="4789" spans="1:2" x14ac:dyDescent="0.35">
      <c r="B4789"/>
    </row>
    <row r="4790" spans="1:2" x14ac:dyDescent="0.35">
      <c r="B4790"/>
    </row>
    <row r="4791" spans="1:2" x14ac:dyDescent="0.35">
      <c r="B4791"/>
    </row>
    <row r="4792" spans="1:2" x14ac:dyDescent="0.35">
      <c r="B4792"/>
    </row>
    <row r="4793" spans="1:2" x14ac:dyDescent="0.35">
      <c r="B4793"/>
    </row>
    <row r="4794" spans="1:2" x14ac:dyDescent="0.35">
      <c r="B4794"/>
    </row>
    <row r="4795" spans="1:2" x14ac:dyDescent="0.35">
      <c r="B4795"/>
    </row>
    <row r="4796" spans="1:2" x14ac:dyDescent="0.35">
      <c r="B4796"/>
    </row>
    <row r="4797" spans="1:2" x14ac:dyDescent="0.35">
      <c r="B4797"/>
    </row>
    <row r="4798" spans="1:2" x14ac:dyDescent="0.35">
      <c r="B4798"/>
    </row>
    <row r="4799" spans="1:2" x14ac:dyDescent="0.35">
      <c r="B4799"/>
    </row>
    <row r="4800" spans="1:2" x14ac:dyDescent="0.35">
      <c r="B4800"/>
    </row>
    <row r="4801" spans="2:2" x14ac:dyDescent="0.35">
      <c r="B4801"/>
    </row>
    <row r="4802" spans="2:2" x14ac:dyDescent="0.35">
      <c r="B4802"/>
    </row>
    <row r="4803" spans="2:2" x14ac:dyDescent="0.35">
      <c r="B4803"/>
    </row>
    <row r="4804" spans="2:2" x14ac:dyDescent="0.35">
      <c r="B4804"/>
    </row>
    <row r="4805" spans="2:2" x14ac:dyDescent="0.35">
      <c r="B4805"/>
    </row>
    <row r="4806" spans="2:2" x14ac:dyDescent="0.35">
      <c r="B4806"/>
    </row>
    <row r="4807" spans="2:2" x14ac:dyDescent="0.35">
      <c r="B4807"/>
    </row>
    <row r="4808" spans="2:2" x14ac:dyDescent="0.35">
      <c r="B4808"/>
    </row>
    <row r="4809" spans="2:2" x14ac:dyDescent="0.35">
      <c r="B4809"/>
    </row>
    <row r="4810" spans="2:2" x14ac:dyDescent="0.35">
      <c r="B4810"/>
    </row>
    <row r="4811" spans="2:2" x14ac:dyDescent="0.35">
      <c r="B4811"/>
    </row>
    <row r="4812" spans="2:2" x14ac:dyDescent="0.35">
      <c r="B4812"/>
    </row>
    <row r="4813" spans="2:2" x14ac:dyDescent="0.35">
      <c r="B4813"/>
    </row>
    <row r="4814" spans="2:2" x14ac:dyDescent="0.35">
      <c r="B4814"/>
    </row>
    <row r="4815" spans="2:2" x14ac:dyDescent="0.35">
      <c r="B4815"/>
    </row>
    <row r="4816" spans="2:2" x14ac:dyDescent="0.35">
      <c r="B4816"/>
    </row>
    <row r="4817" spans="2:2" x14ac:dyDescent="0.35">
      <c r="B4817"/>
    </row>
    <row r="4818" spans="2:2" x14ac:dyDescent="0.35">
      <c r="B4818"/>
    </row>
    <row r="4819" spans="2:2" x14ac:dyDescent="0.35">
      <c r="B4819"/>
    </row>
    <row r="4820" spans="2:2" x14ac:dyDescent="0.35">
      <c r="B4820"/>
    </row>
    <row r="4821" spans="2:2" x14ac:dyDescent="0.35">
      <c r="B4821"/>
    </row>
    <row r="4822" spans="2:2" x14ac:dyDescent="0.35">
      <c r="B4822"/>
    </row>
    <row r="4823" spans="2:2" x14ac:dyDescent="0.35">
      <c r="B4823"/>
    </row>
    <row r="4824" spans="2:2" x14ac:dyDescent="0.35">
      <c r="B4824"/>
    </row>
    <row r="4825" spans="2:2" x14ac:dyDescent="0.35">
      <c r="B4825"/>
    </row>
    <row r="4826" spans="2:2" x14ac:dyDescent="0.35">
      <c r="B4826"/>
    </row>
    <row r="4827" spans="2:2" x14ac:dyDescent="0.35">
      <c r="B4827"/>
    </row>
    <row r="4828" spans="2:2" x14ac:dyDescent="0.35">
      <c r="B4828"/>
    </row>
    <row r="4829" spans="2:2" x14ac:dyDescent="0.35">
      <c r="B4829"/>
    </row>
    <row r="4830" spans="2:2" x14ac:dyDescent="0.35">
      <c r="B4830"/>
    </row>
    <row r="4831" spans="2:2" x14ac:dyDescent="0.35">
      <c r="B4831"/>
    </row>
    <row r="4832" spans="2:2" x14ac:dyDescent="0.35">
      <c r="B4832"/>
    </row>
    <row r="4833" spans="1:2" x14ac:dyDescent="0.35">
      <c r="B4833"/>
    </row>
    <row r="4834" spans="1:2" x14ac:dyDescent="0.35">
      <c r="B4834"/>
    </row>
    <row r="4835" spans="1:2" x14ac:dyDescent="0.35">
      <c r="B4835"/>
    </row>
    <row r="4836" spans="1:2" x14ac:dyDescent="0.35">
      <c r="B4836"/>
    </row>
    <row r="4837" spans="1:2" x14ac:dyDescent="0.35">
      <c r="B4837"/>
    </row>
    <row r="4838" spans="1:2" x14ac:dyDescent="0.35">
      <c r="B4838"/>
    </row>
    <row r="4839" spans="1:2" x14ac:dyDescent="0.35">
      <c r="B4839"/>
    </row>
    <row r="4840" spans="1:2" ht="15.5" x14ac:dyDescent="0.35">
      <c r="A4840" s="49"/>
      <c r="B4840" s="49"/>
    </row>
    <row r="4841" spans="1:2" x14ac:dyDescent="0.35">
      <c r="B4841"/>
    </row>
    <row r="4842" spans="1:2" x14ac:dyDescent="0.35">
      <c r="B4842"/>
    </row>
    <row r="4843" spans="1:2" x14ac:dyDescent="0.35">
      <c r="B4843"/>
    </row>
    <row r="4844" spans="1:2" x14ac:dyDescent="0.35">
      <c r="B4844"/>
    </row>
    <row r="4845" spans="1:2" x14ac:dyDescent="0.35">
      <c r="B4845"/>
    </row>
    <row r="4846" spans="1:2" x14ac:dyDescent="0.35">
      <c r="B4846"/>
    </row>
    <row r="4847" spans="1:2" x14ac:dyDescent="0.35">
      <c r="B4847"/>
    </row>
    <row r="4848" spans="1:2" x14ac:dyDescent="0.35">
      <c r="B4848"/>
    </row>
    <row r="4849" spans="1:2" x14ac:dyDescent="0.35">
      <c r="B4849"/>
    </row>
    <row r="4850" spans="1:2" ht="15.5" x14ac:dyDescent="0.35">
      <c r="A4850" s="49"/>
      <c r="B4850"/>
    </row>
    <row r="4851" spans="1:2" x14ac:dyDescent="0.35">
      <c r="B4851"/>
    </row>
    <row r="4852" spans="1:2" x14ac:dyDescent="0.35">
      <c r="B4852"/>
    </row>
    <row r="4853" spans="1:2" x14ac:dyDescent="0.35">
      <c r="B4853"/>
    </row>
    <row r="4854" spans="1:2" x14ac:dyDescent="0.35">
      <c r="B4854"/>
    </row>
    <row r="4855" spans="1:2" x14ac:dyDescent="0.35">
      <c r="B4855"/>
    </row>
    <row r="4856" spans="1:2" x14ac:dyDescent="0.35">
      <c r="B4856"/>
    </row>
    <row r="4857" spans="1:2" x14ac:dyDescent="0.35">
      <c r="B4857"/>
    </row>
    <row r="4858" spans="1:2" x14ac:dyDescent="0.35">
      <c r="B4858"/>
    </row>
    <row r="4859" spans="1:2" x14ac:dyDescent="0.35">
      <c r="B4859"/>
    </row>
    <row r="4860" spans="1:2" x14ac:dyDescent="0.35">
      <c r="B4860"/>
    </row>
    <row r="4861" spans="1:2" x14ac:dyDescent="0.35">
      <c r="B4861"/>
    </row>
    <row r="4862" spans="1:2" x14ac:dyDescent="0.35">
      <c r="B4862"/>
    </row>
    <row r="4863" spans="1:2" x14ac:dyDescent="0.35">
      <c r="B4863"/>
    </row>
    <row r="4864" spans="1:2" x14ac:dyDescent="0.35">
      <c r="B4864"/>
    </row>
    <row r="4865" spans="2:2" x14ac:dyDescent="0.35">
      <c r="B4865"/>
    </row>
    <row r="4866" spans="2:2" x14ac:dyDescent="0.35">
      <c r="B4866"/>
    </row>
    <row r="4867" spans="2:2" x14ac:dyDescent="0.35">
      <c r="B4867"/>
    </row>
    <row r="4868" spans="2:2" x14ac:dyDescent="0.35">
      <c r="B4868"/>
    </row>
    <row r="4869" spans="2:2" x14ac:dyDescent="0.35">
      <c r="B4869"/>
    </row>
    <row r="4870" spans="2:2" x14ac:dyDescent="0.35">
      <c r="B4870"/>
    </row>
    <row r="4871" spans="2:2" x14ac:dyDescent="0.35">
      <c r="B4871"/>
    </row>
    <row r="4872" spans="2:2" x14ac:dyDescent="0.35">
      <c r="B4872"/>
    </row>
    <row r="4873" spans="2:2" x14ac:dyDescent="0.35">
      <c r="B4873"/>
    </row>
    <row r="4874" spans="2:2" x14ac:dyDescent="0.35">
      <c r="B4874"/>
    </row>
    <row r="4875" spans="2:2" x14ac:dyDescent="0.35">
      <c r="B4875"/>
    </row>
    <row r="4876" spans="2:2" x14ac:dyDescent="0.35">
      <c r="B4876"/>
    </row>
    <row r="4877" spans="2:2" x14ac:dyDescent="0.35">
      <c r="B4877"/>
    </row>
    <row r="4878" spans="2:2" x14ac:dyDescent="0.35">
      <c r="B4878"/>
    </row>
    <row r="4879" spans="2:2" x14ac:dyDescent="0.35">
      <c r="B4879"/>
    </row>
    <row r="4880" spans="2:2" x14ac:dyDescent="0.35">
      <c r="B4880"/>
    </row>
    <row r="4881" spans="2:2" x14ac:dyDescent="0.35">
      <c r="B4881"/>
    </row>
    <row r="4882" spans="2:2" x14ac:dyDescent="0.35">
      <c r="B4882"/>
    </row>
    <row r="4883" spans="2:2" x14ac:dyDescent="0.35">
      <c r="B4883"/>
    </row>
    <row r="4884" spans="2:2" x14ac:dyDescent="0.35">
      <c r="B4884"/>
    </row>
    <row r="4885" spans="2:2" x14ac:dyDescent="0.35">
      <c r="B4885"/>
    </row>
    <row r="4886" spans="2:2" x14ac:dyDescent="0.35">
      <c r="B4886"/>
    </row>
    <row r="4887" spans="2:2" x14ac:dyDescent="0.35">
      <c r="B4887"/>
    </row>
    <row r="4888" spans="2:2" x14ac:dyDescent="0.35">
      <c r="B4888"/>
    </row>
    <row r="4889" spans="2:2" x14ac:dyDescent="0.35">
      <c r="B4889"/>
    </row>
    <row r="4890" spans="2:2" x14ac:dyDescent="0.35">
      <c r="B4890"/>
    </row>
    <row r="4891" spans="2:2" x14ac:dyDescent="0.35">
      <c r="B4891"/>
    </row>
    <row r="4892" spans="2:2" x14ac:dyDescent="0.35">
      <c r="B4892"/>
    </row>
    <row r="4893" spans="2:2" x14ac:dyDescent="0.35">
      <c r="B4893"/>
    </row>
    <row r="4894" spans="2:2" x14ac:dyDescent="0.35">
      <c r="B4894"/>
    </row>
    <row r="4895" spans="2:2" x14ac:dyDescent="0.35">
      <c r="B4895"/>
    </row>
    <row r="4896" spans="2:2" x14ac:dyDescent="0.35">
      <c r="B4896"/>
    </row>
    <row r="4897" spans="1:2" x14ac:dyDescent="0.35">
      <c r="B4897"/>
    </row>
    <row r="4898" spans="1:2" x14ac:dyDescent="0.35">
      <c r="B4898"/>
    </row>
    <row r="4899" spans="1:2" x14ac:dyDescent="0.35">
      <c r="B4899"/>
    </row>
    <row r="4900" spans="1:2" x14ac:dyDescent="0.35">
      <c r="B4900"/>
    </row>
    <row r="4901" spans="1:2" x14ac:dyDescent="0.35">
      <c r="B4901"/>
    </row>
    <row r="4902" spans="1:2" x14ac:dyDescent="0.35">
      <c r="B4902"/>
    </row>
    <row r="4903" spans="1:2" ht="15.5" x14ac:dyDescent="0.35">
      <c r="A4903" s="49"/>
      <c r="B4903" s="49"/>
    </row>
    <row r="4904" spans="1:2" x14ac:dyDescent="0.35">
      <c r="B4904"/>
    </row>
    <row r="4905" spans="1:2" x14ac:dyDescent="0.35">
      <c r="B4905"/>
    </row>
    <row r="4906" spans="1:2" x14ac:dyDescent="0.35">
      <c r="B4906"/>
    </row>
    <row r="4907" spans="1:2" x14ac:dyDescent="0.35">
      <c r="B4907"/>
    </row>
    <row r="4908" spans="1:2" x14ac:dyDescent="0.35">
      <c r="B4908"/>
    </row>
    <row r="4909" spans="1:2" x14ac:dyDescent="0.35">
      <c r="B4909"/>
    </row>
    <row r="4910" spans="1:2" x14ac:dyDescent="0.35">
      <c r="B4910"/>
    </row>
    <row r="4911" spans="1:2" x14ac:dyDescent="0.35">
      <c r="B4911"/>
    </row>
    <row r="4912" spans="1:2" x14ac:dyDescent="0.35">
      <c r="B4912"/>
    </row>
    <row r="4913" spans="1:2" ht="15.5" x14ac:dyDescent="0.35">
      <c r="A4913" s="49"/>
      <c r="B4913"/>
    </row>
    <row r="4914" spans="1:2" x14ac:dyDescent="0.35">
      <c r="B4914"/>
    </row>
    <row r="4915" spans="1:2" x14ac:dyDescent="0.35">
      <c r="B4915"/>
    </row>
    <row r="4916" spans="1:2" x14ac:dyDescent="0.35">
      <c r="B4916"/>
    </row>
    <row r="4917" spans="1:2" x14ac:dyDescent="0.35">
      <c r="B4917"/>
    </row>
    <row r="4918" spans="1:2" x14ac:dyDescent="0.35">
      <c r="B4918"/>
    </row>
    <row r="4919" spans="1:2" x14ac:dyDescent="0.35">
      <c r="B4919"/>
    </row>
    <row r="4920" spans="1:2" x14ac:dyDescent="0.35">
      <c r="B4920"/>
    </row>
    <row r="4921" spans="1:2" x14ac:dyDescent="0.35">
      <c r="B4921"/>
    </row>
    <row r="4922" spans="1:2" x14ac:dyDescent="0.35">
      <c r="B4922"/>
    </row>
    <row r="4923" spans="1:2" x14ac:dyDescent="0.35">
      <c r="B4923"/>
    </row>
    <row r="4924" spans="1:2" x14ac:dyDescent="0.35">
      <c r="B4924"/>
    </row>
    <row r="4925" spans="1:2" x14ac:dyDescent="0.35">
      <c r="B4925"/>
    </row>
    <row r="4926" spans="1:2" x14ac:dyDescent="0.35">
      <c r="B4926"/>
    </row>
    <row r="4927" spans="1:2" x14ac:dyDescent="0.35">
      <c r="B4927"/>
    </row>
    <row r="4928" spans="1:2" x14ac:dyDescent="0.35">
      <c r="B4928"/>
    </row>
    <row r="4929" spans="2:2" x14ac:dyDescent="0.35">
      <c r="B4929"/>
    </row>
    <row r="4930" spans="2:2" x14ac:dyDescent="0.35">
      <c r="B4930"/>
    </row>
    <row r="4931" spans="2:2" x14ac:dyDescent="0.35">
      <c r="B4931"/>
    </row>
    <row r="4932" spans="2:2" x14ac:dyDescent="0.35">
      <c r="B4932"/>
    </row>
    <row r="4933" spans="2:2" x14ac:dyDescent="0.35">
      <c r="B4933"/>
    </row>
    <row r="4934" spans="2:2" x14ac:dyDescent="0.35">
      <c r="B4934"/>
    </row>
    <row r="4935" spans="2:2" x14ac:dyDescent="0.35">
      <c r="B4935"/>
    </row>
    <row r="4936" spans="2:2" x14ac:dyDescent="0.35">
      <c r="B4936"/>
    </row>
    <row r="4937" spans="2:2" x14ac:dyDescent="0.35">
      <c r="B4937"/>
    </row>
    <row r="4938" spans="2:2" x14ac:dyDescent="0.35">
      <c r="B4938"/>
    </row>
    <row r="4939" spans="2:2" x14ac:dyDescent="0.35">
      <c r="B4939"/>
    </row>
    <row r="4940" spans="2:2" x14ac:dyDescent="0.35">
      <c r="B4940"/>
    </row>
    <row r="4941" spans="2:2" x14ac:dyDescent="0.35">
      <c r="B4941"/>
    </row>
    <row r="4942" spans="2:2" x14ac:dyDescent="0.35">
      <c r="B4942"/>
    </row>
    <row r="4943" spans="2:2" x14ac:dyDescent="0.35">
      <c r="B4943"/>
    </row>
    <row r="4944" spans="2:2" x14ac:dyDescent="0.35">
      <c r="B4944"/>
    </row>
    <row r="4945" spans="2:2" x14ac:dyDescent="0.35">
      <c r="B4945"/>
    </row>
    <row r="4946" spans="2:2" x14ac:dyDescent="0.35">
      <c r="B4946"/>
    </row>
    <row r="4947" spans="2:2" x14ac:dyDescent="0.35">
      <c r="B4947"/>
    </row>
    <row r="4948" spans="2:2" x14ac:dyDescent="0.35">
      <c r="B4948"/>
    </row>
    <row r="4949" spans="2:2" x14ac:dyDescent="0.35">
      <c r="B4949"/>
    </row>
    <row r="4950" spans="2:2" x14ac:dyDescent="0.35">
      <c r="B4950"/>
    </row>
    <row r="4951" spans="2:2" x14ac:dyDescent="0.35">
      <c r="B4951"/>
    </row>
    <row r="4952" spans="2:2" x14ac:dyDescent="0.35">
      <c r="B4952"/>
    </row>
    <row r="4953" spans="2:2" x14ac:dyDescent="0.35">
      <c r="B4953"/>
    </row>
    <row r="4954" spans="2:2" x14ac:dyDescent="0.35">
      <c r="B4954"/>
    </row>
    <row r="4955" spans="2:2" x14ac:dyDescent="0.35">
      <c r="B4955"/>
    </row>
    <row r="4956" spans="2:2" x14ac:dyDescent="0.35">
      <c r="B4956"/>
    </row>
    <row r="4957" spans="2:2" x14ac:dyDescent="0.35">
      <c r="B4957"/>
    </row>
    <row r="4958" spans="2:2" x14ac:dyDescent="0.35">
      <c r="B4958"/>
    </row>
    <row r="4959" spans="2:2" x14ac:dyDescent="0.35">
      <c r="B4959"/>
    </row>
    <row r="4960" spans="2:2" x14ac:dyDescent="0.35">
      <c r="B4960"/>
    </row>
    <row r="4961" spans="1:2" x14ac:dyDescent="0.35">
      <c r="B4961"/>
    </row>
    <row r="4962" spans="1:2" x14ac:dyDescent="0.35">
      <c r="B4962"/>
    </row>
    <row r="4963" spans="1:2" x14ac:dyDescent="0.35">
      <c r="B4963"/>
    </row>
    <row r="4964" spans="1:2" x14ac:dyDescent="0.35">
      <c r="B4964"/>
    </row>
    <row r="4965" spans="1:2" x14ac:dyDescent="0.35">
      <c r="B4965"/>
    </row>
    <row r="4966" spans="1:2" ht="15.5" x14ac:dyDescent="0.35">
      <c r="A4966" s="49"/>
      <c r="B4966" s="49"/>
    </row>
    <row r="4967" spans="1:2" x14ac:dyDescent="0.35">
      <c r="B4967"/>
    </row>
    <row r="4968" spans="1:2" x14ac:dyDescent="0.35">
      <c r="B4968"/>
    </row>
    <row r="4969" spans="1:2" x14ac:dyDescent="0.35">
      <c r="B4969"/>
    </row>
    <row r="4970" spans="1:2" x14ac:dyDescent="0.35">
      <c r="B4970"/>
    </row>
    <row r="4971" spans="1:2" x14ac:dyDescent="0.35">
      <c r="B4971"/>
    </row>
    <row r="4972" spans="1:2" x14ac:dyDescent="0.35">
      <c r="B4972"/>
    </row>
    <row r="4973" spans="1:2" x14ac:dyDescent="0.35">
      <c r="B4973"/>
    </row>
    <row r="4974" spans="1:2" x14ac:dyDescent="0.35">
      <c r="B4974"/>
    </row>
    <row r="4975" spans="1:2" x14ac:dyDescent="0.35">
      <c r="B4975"/>
    </row>
    <row r="4976" spans="1:2" ht="15.5" x14ac:dyDescent="0.35">
      <c r="A4976" s="49"/>
      <c r="B4976"/>
    </row>
    <row r="4977" spans="1:2" x14ac:dyDescent="0.35">
      <c r="B4977"/>
    </row>
    <row r="4978" spans="1:2" x14ac:dyDescent="0.35">
      <c r="B4978"/>
    </row>
    <row r="4979" spans="1:2" x14ac:dyDescent="0.35">
      <c r="B4979"/>
    </row>
    <row r="4980" spans="1:2" x14ac:dyDescent="0.35">
      <c r="B4980"/>
    </row>
    <row r="4981" spans="1:2" x14ac:dyDescent="0.35">
      <c r="B4981"/>
    </row>
    <row r="4982" spans="1:2" x14ac:dyDescent="0.35">
      <c r="B4982"/>
    </row>
    <row r="4983" spans="1:2" x14ac:dyDescent="0.35">
      <c r="B4983"/>
    </row>
    <row r="4984" spans="1:2" x14ac:dyDescent="0.35">
      <c r="B4984"/>
    </row>
    <row r="4985" spans="1:2" ht="15.5" x14ac:dyDescent="0.35">
      <c r="A4985" s="49"/>
      <c r="B4985" s="49"/>
    </row>
    <row r="4986" spans="1:2" x14ac:dyDescent="0.35">
      <c r="B4986"/>
    </row>
    <row r="4987" spans="1:2" x14ac:dyDescent="0.35">
      <c r="B4987"/>
    </row>
    <row r="4988" spans="1:2" x14ac:dyDescent="0.35">
      <c r="B4988"/>
    </row>
    <row r="4989" spans="1:2" x14ac:dyDescent="0.35">
      <c r="B4989"/>
    </row>
    <row r="4990" spans="1:2" x14ac:dyDescent="0.35">
      <c r="B4990"/>
    </row>
    <row r="4991" spans="1:2" x14ac:dyDescent="0.35">
      <c r="B4991"/>
    </row>
    <row r="4992" spans="1:2" x14ac:dyDescent="0.35">
      <c r="B4992"/>
    </row>
    <row r="4993" spans="1:2" x14ac:dyDescent="0.35">
      <c r="B4993"/>
    </row>
    <row r="4994" spans="1:2" x14ac:dyDescent="0.35">
      <c r="B4994"/>
    </row>
    <row r="4995" spans="1:2" ht="15.5" x14ac:dyDescent="0.35">
      <c r="A4995" s="49"/>
      <c r="B4995"/>
    </row>
    <row r="4996" spans="1:2" x14ac:dyDescent="0.35">
      <c r="B4996"/>
    </row>
    <row r="4997" spans="1:2" x14ac:dyDescent="0.35">
      <c r="B4997"/>
    </row>
    <row r="4998" spans="1:2" x14ac:dyDescent="0.35">
      <c r="B4998"/>
    </row>
    <row r="4999" spans="1:2" x14ac:dyDescent="0.35">
      <c r="B4999"/>
    </row>
    <row r="5000" spans="1:2" x14ac:dyDescent="0.35">
      <c r="B5000"/>
    </row>
    <row r="5001" spans="1:2" x14ac:dyDescent="0.35">
      <c r="B5001"/>
    </row>
    <row r="5002" spans="1:2" x14ac:dyDescent="0.35">
      <c r="B5002"/>
    </row>
    <row r="5003" spans="1:2" x14ac:dyDescent="0.35">
      <c r="B5003"/>
    </row>
    <row r="5004" spans="1:2" ht="15.5" x14ac:dyDescent="0.35">
      <c r="A5004" s="49"/>
      <c r="B5004" s="49"/>
    </row>
    <row r="5005" spans="1:2" x14ac:dyDescent="0.35">
      <c r="B5005"/>
    </row>
    <row r="5006" spans="1:2" x14ac:dyDescent="0.35">
      <c r="B5006"/>
    </row>
    <row r="5007" spans="1:2" x14ac:dyDescent="0.35">
      <c r="B5007"/>
    </row>
    <row r="5008" spans="1:2" x14ac:dyDescent="0.35">
      <c r="B5008"/>
    </row>
    <row r="5009" spans="1:2" x14ac:dyDescent="0.35">
      <c r="B5009"/>
    </row>
    <row r="5010" spans="1:2" x14ac:dyDescent="0.35">
      <c r="B5010"/>
    </row>
    <row r="5011" spans="1:2" x14ac:dyDescent="0.35">
      <c r="B5011"/>
    </row>
    <row r="5012" spans="1:2" x14ac:dyDescent="0.35">
      <c r="B5012"/>
    </row>
    <row r="5013" spans="1:2" x14ac:dyDescent="0.35">
      <c r="B5013"/>
    </row>
    <row r="5014" spans="1:2" ht="15.5" x14ac:dyDescent="0.35">
      <c r="A5014" s="49"/>
      <c r="B5014"/>
    </row>
    <row r="5015" spans="1:2" x14ac:dyDescent="0.35">
      <c r="B5015"/>
    </row>
    <row r="5016" spans="1:2" x14ac:dyDescent="0.35">
      <c r="B5016"/>
    </row>
    <row r="5017" spans="1:2" x14ac:dyDescent="0.35">
      <c r="B5017"/>
    </row>
    <row r="5018" spans="1:2" x14ac:dyDescent="0.35">
      <c r="B5018"/>
    </row>
    <row r="5019" spans="1:2" x14ac:dyDescent="0.35">
      <c r="B5019"/>
    </row>
    <row r="5020" spans="1:2" x14ac:dyDescent="0.35">
      <c r="B5020"/>
    </row>
    <row r="5021" spans="1:2" x14ac:dyDescent="0.35">
      <c r="B5021"/>
    </row>
    <row r="5022" spans="1:2" x14ac:dyDescent="0.35">
      <c r="B5022"/>
    </row>
    <row r="5023" spans="1:2" x14ac:dyDescent="0.35">
      <c r="B5023"/>
    </row>
    <row r="5024" spans="1:2" x14ac:dyDescent="0.35">
      <c r="B5024"/>
    </row>
    <row r="5025" spans="2:2" x14ac:dyDescent="0.35">
      <c r="B5025"/>
    </row>
    <row r="5026" spans="2:2" x14ac:dyDescent="0.35">
      <c r="B5026"/>
    </row>
    <row r="5027" spans="2:2" x14ac:dyDescent="0.35">
      <c r="B5027"/>
    </row>
    <row r="5028" spans="2:2" x14ac:dyDescent="0.35">
      <c r="B5028"/>
    </row>
    <row r="5029" spans="2:2" x14ac:dyDescent="0.35">
      <c r="B5029"/>
    </row>
    <row r="5030" spans="2:2" x14ac:dyDescent="0.35">
      <c r="B5030"/>
    </row>
    <row r="5031" spans="2:2" x14ac:dyDescent="0.35">
      <c r="B5031"/>
    </row>
    <row r="5032" spans="2:2" x14ac:dyDescent="0.35">
      <c r="B5032"/>
    </row>
    <row r="5033" spans="2:2" x14ac:dyDescent="0.35">
      <c r="B5033"/>
    </row>
    <row r="5034" spans="2:2" x14ac:dyDescent="0.35">
      <c r="B5034"/>
    </row>
    <row r="5035" spans="2:2" x14ac:dyDescent="0.35">
      <c r="B5035"/>
    </row>
    <row r="5036" spans="2:2" x14ac:dyDescent="0.35">
      <c r="B5036"/>
    </row>
    <row r="5037" spans="2:2" x14ac:dyDescent="0.35">
      <c r="B5037"/>
    </row>
    <row r="5038" spans="2:2" x14ac:dyDescent="0.35">
      <c r="B5038"/>
    </row>
    <row r="5039" spans="2:2" x14ac:dyDescent="0.35">
      <c r="B5039"/>
    </row>
    <row r="5040" spans="2:2" x14ac:dyDescent="0.35">
      <c r="B5040"/>
    </row>
    <row r="5041" spans="2:2" x14ac:dyDescent="0.35">
      <c r="B5041"/>
    </row>
    <row r="5042" spans="2:2" x14ac:dyDescent="0.35">
      <c r="B5042"/>
    </row>
    <row r="5043" spans="2:2" x14ac:dyDescent="0.35">
      <c r="B5043"/>
    </row>
    <row r="5044" spans="2:2" x14ac:dyDescent="0.35">
      <c r="B5044"/>
    </row>
    <row r="5045" spans="2:2" x14ac:dyDescent="0.35">
      <c r="B5045"/>
    </row>
    <row r="5046" spans="2:2" x14ac:dyDescent="0.35">
      <c r="B5046"/>
    </row>
    <row r="5047" spans="2:2" x14ac:dyDescent="0.35">
      <c r="B5047"/>
    </row>
    <row r="5048" spans="2:2" x14ac:dyDescent="0.35">
      <c r="B5048"/>
    </row>
    <row r="5049" spans="2:2" x14ac:dyDescent="0.35">
      <c r="B5049"/>
    </row>
    <row r="5050" spans="2:2" x14ac:dyDescent="0.35">
      <c r="B5050"/>
    </row>
    <row r="5051" spans="2:2" x14ac:dyDescent="0.35">
      <c r="B5051"/>
    </row>
    <row r="5052" spans="2:2" x14ac:dyDescent="0.35">
      <c r="B5052"/>
    </row>
    <row r="5053" spans="2:2" x14ac:dyDescent="0.35">
      <c r="B5053"/>
    </row>
    <row r="5054" spans="2:2" x14ac:dyDescent="0.35">
      <c r="B5054"/>
    </row>
    <row r="5055" spans="2:2" x14ac:dyDescent="0.35">
      <c r="B5055"/>
    </row>
    <row r="5056" spans="2:2" x14ac:dyDescent="0.35">
      <c r="B5056"/>
    </row>
    <row r="5057" spans="1:2" x14ac:dyDescent="0.35">
      <c r="B5057"/>
    </row>
    <row r="5058" spans="1:2" ht="15.5" x14ac:dyDescent="0.35">
      <c r="A5058" s="49"/>
      <c r="B5058" s="49"/>
    </row>
    <row r="5059" spans="1:2" x14ac:dyDescent="0.35">
      <c r="B5059"/>
    </row>
    <row r="5060" spans="1:2" x14ac:dyDescent="0.35">
      <c r="B5060"/>
    </row>
    <row r="5061" spans="1:2" x14ac:dyDescent="0.35">
      <c r="B5061"/>
    </row>
    <row r="5062" spans="1:2" x14ac:dyDescent="0.35">
      <c r="B5062"/>
    </row>
    <row r="5063" spans="1:2" x14ac:dyDescent="0.35">
      <c r="B5063"/>
    </row>
    <row r="5064" spans="1:2" x14ac:dyDescent="0.35">
      <c r="B5064"/>
    </row>
    <row r="5065" spans="1:2" x14ac:dyDescent="0.35">
      <c r="B5065"/>
    </row>
    <row r="5066" spans="1:2" x14ac:dyDescent="0.35">
      <c r="B5066"/>
    </row>
    <row r="5067" spans="1:2" x14ac:dyDescent="0.35">
      <c r="B5067"/>
    </row>
    <row r="5068" spans="1:2" ht="15.5" x14ac:dyDescent="0.35">
      <c r="A5068" s="49"/>
      <c r="B5068"/>
    </row>
    <row r="5069" spans="1:2" x14ac:dyDescent="0.35">
      <c r="B5069"/>
    </row>
    <row r="5070" spans="1:2" x14ac:dyDescent="0.35">
      <c r="B5070"/>
    </row>
    <row r="5071" spans="1:2" x14ac:dyDescent="0.35">
      <c r="B5071"/>
    </row>
    <row r="5072" spans="1:2" x14ac:dyDescent="0.35">
      <c r="B5072"/>
    </row>
    <row r="5073" spans="2:2" x14ac:dyDescent="0.35">
      <c r="B5073"/>
    </row>
    <row r="5074" spans="2:2" x14ac:dyDescent="0.35">
      <c r="B5074"/>
    </row>
    <row r="5075" spans="2:2" x14ac:dyDescent="0.35">
      <c r="B5075"/>
    </row>
    <row r="5076" spans="2:2" x14ac:dyDescent="0.35">
      <c r="B5076"/>
    </row>
    <row r="5077" spans="2:2" x14ac:dyDescent="0.35">
      <c r="B5077"/>
    </row>
    <row r="5078" spans="2:2" x14ac:dyDescent="0.35">
      <c r="B5078"/>
    </row>
    <row r="5079" spans="2:2" x14ac:dyDescent="0.35">
      <c r="B5079"/>
    </row>
    <row r="5080" spans="2:2" x14ac:dyDescent="0.35">
      <c r="B5080"/>
    </row>
    <row r="5081" spans="2:2" x14ac:dyDescent="0.35">
      <c r="B5081"/>
    </row>
    <row r="5082" spans="2:2" x14ac:dyDescent="0.35">
      <c r="B5082"/>
    </row>
    <row r="5083" spans="2:2" x14ac:dyDescent="0.35">
      <c r="B5083"/>
    </row>
    <row r="5084" spans="2:2" x14ac:dyDescent="0.35">
      <c r="B5084"/>
    </row>
    <row r="5085" spans="2:2" x14ac:dyDescent="0.35">
      <c r="B5085"/>
    </row>
    <row r="5086" spans="2:2" x14ac:dyDescent="0.35">
      <c r="B5086"/>
    </row>
    <row r="5087" spans="2:2" x14ac:dyDescent="0.35">
      <c r="B5087"/>
    </row>
    <row r="5088" spans="2:2" x14ac:dyDescent="0.35">
      <c r="B5088"/>
    </row>
    <row r="5089" spans="2:2" x14ac:dyDescent="0.35">
      <c r="B5089"/>
    </row>
    <row r="5090" spans="2:2" x14ac:dyDescent="0.35">
      <c r="B5090"/>
    </row>
    <row r="5091" spans="2:2" x14ac:dyDescent="0.35">
      <c r="B5091"/>
    </row>
    <row r="5092" spans="2:2" x14ac:dyDescent="0.35">
      <c r="B5092"/>
    </row>
    <row r="5093" spans="2:2" x14ac:dyDescent="0.35">
      <c r="B5093"/>
    </row>
    <row r="5094" spans="2:2" x14ac:dyDescent="0.35">
      <c r="B5094"/>
    </row>
    <row r="5095" spans="2:2" x14ac:dyDescent="0.35">
      <c r="B5095"/>
    </row>
    <row r="5096" spans="2:2" x14ac:dyDescent="0.35">
      <c r="B5096"/>
    </row>
    <row r="5097" spans="2:2" x14ac:dyDescent="0.35">
      <c r="B5097"/>
    </row>
    <row r="5098" spans="2:2" x14ac:dyDescent="0.35">
      <c r="B5098"/>
    </row>
    <row r="5099" spans="2:2" x14ac:dyDescent="0.35">
      <c r="B5099"/>
    </row>
    <row r="5100" spans="2:2" x14ac:dyDescent="0.35">
      <c r="B5100"/>
    </row>
    <row r="5101" spans="2:2" x14ac:dyDescent="0.35">
      <c r="B5101"/>
    </row>
    <row r="5102" spans="2:2" x14ac:dyDescent="0.35">
      <c r="B5102"/>
    </row>
    <row r="5103" spans="2:2" x14ac:dyDescent="0.35">
      <c r="B5103"/>
    </row>
    <row r="5104" spans="2:2" x14ac:dyDescent="0.35">
      <c r="B5104"/>
    </row>
    <row r="5105" spans="1:2" x14ac:dyDescent="0.35">
      <c r="B5105"/>
    </row>
    <row r="5106" spans="1:2" x14ac:dyDescent="0.35">
      <c r="B5106"/>
    </row>
    <row r="5107" spans="1:2" x14ac:dyDescent="0.35">
      <c r="B5107"/>
    </row>
    <row r="5108" spans="1:2" x14ac:dyDescent="0.35">
      <c r="B5108"/>
    </row>
    <row r="5109" spans="1:2" x14ac:dyDescent="0.35">
      <c r="B5109"/>
    </row>
    <row r="5110" spans="1:2" x14ac:dyDescent="0.35">
      <c r="B5110"/>
    </row>
    <row r="5111" spans="1:2" x14ac:dyDescent="0.35">
      <c r="B5111"/>
    </row>
    <row r="5112" spans="1:2" ht="15.5" x14ac:dyDescent="0.35">
      <c r="A5112" s="49"/>
      <c r="B5112" s="49"/>
    </row>
    <row r="5113" spans="1:2" x14ac:dyDescent="0.35">
      <c r="B5113"/>
    </row>
    <row r="5114" spans="1:2" x14ac:dyDescent="0.35">
      <c r="B5114"/>
    </row>
    <row r="5115" spans="1:2" x14ac:dyDescent="0.35">
      <c r="B5115"/>
    </row>
    <row r="5116" spans="1:2" x14ac:dyDescent="0.35">
      <c r="B5116"/>
    </row>
    <row r="5117" spans="1:2" x14ac:dyDescent="0.35">
      <c r="B5117"/>
    </row>
    <row r="5118" spans="1:2" x14ac:dyDescent="0.35">
      <c r="B5118"/>
    </row>
    <row r="5119" spans="1:2" x14ac:dyDescent="0.35">
      <c r="B5119"/>
    </row>
    <row r="5120" spans="1:2" x14ac:dyDescent="0.35">
      <c r="B5120"/>
    </row>
    <row r="5121" spans="1:2" x14ac:dyDescent="0.35">
      <c r="B5121"/>
    </row>
    <row r="5122" spans="1:2" ht="15.5" x14ac:dyDescent="0.35">
      <c r="A5122" s="49"/>
      <c r="B5122"/>
    </row>
    <row r="5123" spans="1:2" x14ac:dyDescent="0.35">
      <c r="B5123"/>
    </row>
    <row r="5124" spans="1:2" x14ac:dyDescent="0.35">
      <c r="B5124"/>
    </row>
    <row r="5125" spans="1:2" x14ac:dyDescent="0.35">
      <c r="B5125"/>
    </row>
    <row r="5126" spans="1:2" x14ac:dyDescent="0.35">
      <c r="B5126"/>
    </row>
    <row r="5127" spans="1:2" x14ac:dyDescent="0.35">
      <c r="B5127"/>
    </row>
    <row r="5128" spans="1:2" x14ac:dyDescent="0.35">
      <c r="B5128"/>
    </row>
    <row r="5129" spans="1:2" x14ac:dyDescent="0.35">
      <c r="B5129"/>
    </row>
    <row r="5130" spans="1:2" x14ac:dyDescent="0.35">
      <c r="B5130"/>
    </row>
    <row r="5131" spans="1:2" x14ac:dyDescent="0.35">
      <c r="B5131"/>
    </row>
    <row r="5132" spans="1:2" x14ac:dyDescent="0.35">
      <c r="B5132"/>
    </row>
    <row r="5133" spans="1:2" x14ac:dyDescent="0.35">
      <c r="B5133"/>
    </row>
    <row r="5134" spans="1:2" x14ac:dyDescent="0.35">
      <c r="B5134"/>
    </row>
    <row r="5135" spans="1:2" x14ac:dyDescent="0.35">
      <c r="B5135"/>
    </row>
    <row r="5136" spans="1:2" x14ac:dyDescent="0.35">
      <c r="B5136"/>
    </row>
    <row r="5137" spans="2:2" x14ac:dyDescent="0.35">
      <c r="B5137"/>
    </row>
    <row r="5138" spans="2:2" x14ac:dyDescent="0.35">
      <c r="B5138"/>
    </row>
    <row r="5139" spans="2:2" x14ac:dyDescent="0.35">
      <c r="B5139"/>
    </row>
    <row r="5140" spans="2:2" x14ac:dyDescent="0.35">
      <c r="B5140"/>
    </row>
    <row r="5141" spans="2:2" x14ac:dyDescent="0.35">
      <c r="B5141"/>
    </row>
    <row r="5142" spans="2:2" x14ac:dyDescent="0.35">
      <c r="B5142"/>
    </row>
    <row r="5143" spans="2:2" x14ac:dyDescent="0.35">
      <c r="B5143"/>
    </row>
    <row r="5144" spans="2:2" x14ac:dyDescent="0.35">
      <c r="B5144"/>
    </row>
    <row r="5145" spans="2:2" x14ac:dyDescent="0.35">
      <c r="B5145"/>
    </row>
    <row r="5146" spans="2:2" x14ac:dyDescent="0.35">
      <c r="B5146"/>
    </row>
    <row r="5147" spans="2:2" x14ac:dyDescent="0.35">
      <c r="B5147"/>
    </row>
    <row r="5148" spans="2:2" x14ac:dyDescent="0.35">
      <c r="B5148"/>
    </row>
    <row r="5149" spans="2:2" x14ac:dyDescent="0.35">
      <c r="B5149"/>
    </row>
    <row r="5150" spans="2:2" x14ac:dyDescent="0.35">
      <c r="B5150"/>
    </row>
    <row r="5151" spans="2:2" x14ac:dyDescent="0.35">
      <c r="B5151"/>
    </row>
    <row r="5152" spans="2:2" x14ac:dyDescent="0.35">
      <c r="B5152"/>
    </row>
    <row r="5153" spans="1:2" x14ac:dyDescent="0.35">
      <c r="B5153"/>
    </row>
    <row r="5154" spans="1:2" x14ac:dyDescent="0.35">
      <c r="B5154"/>
    </row>
    <row r="5155" spans="1:2" x14ac:dyDescent="0.35">
      <c r="B5155"/>
    </row>
    <row r="5156" spans="1:2" x14ac:dyDescent="0.35">
      <c r="B5156"/>
    </row>
    <row r="5157" spans="1:2" x14ac:dyDescent="0.35">
      <c r="B5157"/>
    </row>
    <row r="5158" spans="1:2" x14ac:dyDescent="0.35">
      <c r="B5158"/>
    </row>
    <row r="5159" spans="1:2" x14ac:dyDescent="0.35">
      <c r="B5159"/>
    </row>
    <row r="5160" spans="1:2" x14ac:dyDescent="0.35">
      <c r="B5160"/>
    </row>
    <row r="5161" spans="1:2" x14ac:dyDescent="0.35">
      <c r="B5161"/>
    </row>
    <row r="5162" spans="1:2" x14ac:dyDescent="0.35">
      <c r="B5162"/>
    </row>
    <row r="5163" spans="1:2" x14ac:dyDescent="0.35">
      <c r="B5163"/>
    </row>
    <row r="5164" spans="1:2" x14ac:dyDescent="0.35">
      <c r="B5164"/>
    </row>
    <row r="5165" spans="1:2" x14ac:dyDescent="0.35">
      <c r="B5165"/>
    </row>
    <row r="5166" spans="1:2" ht="15.5" x14ac:dyDescent="0.35">
      <c r="A5166" s="49"/>
      <c r="B5166" s="49"/>
    </row>
    <row r="5167" spans="1:2" x14ac:dyDescent="0.35">
      <c r="B5167"/>
    </row>
    <row r="5168" spans="1:2" x14ac:dyDescent="0.35">
      <c r="B5168"/>
    </row>
    <row r="5169" spans="1:2" x14ac:dyDescent="0.35">
      <c r="B5169"/>
    </row>
    <row r="5170" spans="1:2" x14ac:dyDescent="0.35">
      <c r="B5170"/>
    </row>
    <row r="5171" spans="1:2" x14ac:dyDescent="0.35">
      <c r="B5171"/>
    </row>
    <row r="5172" spans="1:2" x14ac:dyDescent="0.35">
      <c r="B5172"/>
    </row>
    <row r="5173" spans="1:2" x14ac:dyDescent="0.35">
      <c r="B5173"/>
    </row>
    <row r="5174" spans="1:2" x14ac:dyDescent="0.35">
      <c r="B5174"/>
    </row>
    <row r="5175" spans="1:2" x14ac:dyDescent="0.35">
      <c r="B5175"/>
    </row>
    <row r="5176" spans="1:2" ht="15.5" x14ac:dyDescent="0.35">
      <c r="A5176" s="49"/>
      <c r="B5176"/>
    </row>
    <row r="5177" spans="1:2" x14ac:dyDescent="0.35">
      <c r="B5177"/>
    </row>
    <row r="5178" spans="1:2" x14ac:dyDescent="0.35">
      <c r="B5178"/>
    </row>
    <row r="5179" spans="1:2" x14ac:dyDescent="0.35">
      <c r="B5179"/>
    </row>
    <row r="5180" spans="1:2" x14ac:dyDescent="0.35">
      <c r="B5180"/>
    </row>
    <row r="5181" spans="1:2" x14ac:dyDescent="0.35">
      <c r="B5181"/>
    </row>
    <row r="5182" spans="1:2" x14ac:dyDescent="0.35">
      <c r="B5182"/>
    </row>
    <row r="5183" spans="1:2" x14ac:dyDescent="0.35">
      <c r="B5183"/>
    </row>
    <row r="5184" spans="1:2" x14ac:dyDescent="0.35">
      <c r="B5184"/>
    </row>
    <row r="5185" spans="2:2" x14ac:dyDescent="0.35">
      <c r="B5185"/>
    </row>
    <row r="5186" spans="2:2" x14ac:dyDescent="0.35">
      <c r="B5186"/>
    </row>
    <row r="5187" spans="2:2" x14ac:dyDescent="0.35">
      <c r="B5187"/>
    </row>
    <row r="5188" spans="2:2" x14ac:dyDescent="0.35">
      <c r="B5188"/>
    </row>
    <row r="5189" spans="2:2" x14ac:dyDescent="0.35">
      <c r="B5189"/>
    </row>
    <row r="5190" spans="2:2" x14ac:dyDescent="0.35">
      <c r="B5190"/>
    </row>
    <row r="5191" spans="2:2" x14ac:dyDescent="0.35">
      <c r="B5191"/>
    </row>
    <row r="5192" spans="2:2" x14ac:dyDescent="0.35">
      <c r="B5192"/>
    </row>
    <row r="5193" spans="2:2" x14ac:dyDescent="0.35">
      <c r="B5193"/>
    </row>
    <row r="5194" spans="2:2" x14ac:dyDescent="0.35">
      <c r="B5194"/>
    </row>
    <row r="5195" spans="2:2" x14ac:dyDescent="0.35">
      <c r="B5195"/>
    </row>
    <row r="5196" spans="2:2" x14ac:dyDescent="0.35">
      <c r="B5196"/>
    </row>
    <row r="5197" spans="2:2" x14ac:dyDescent="0.35">
      <c r="B5197"/>
    </row>
    <row r="5198" spans="2:2" x14ac:dyDescent="0.35">
      <c r="B5198"/>
    </row>
    <row r="5199" spans="2:2" x14ac:dyDescent="0.35">
      <c r="B5199"/>
    </row>
    <row r="5200" spans="2:2" x14ac:dyDescent="0.35">
      <c r="B5200"/>
    </row>
    <row r="5201" spans="2:2" x14ac:dyDescent="0.35">
      <c r="B5201"/>
    </row>
    <row r="5202" spans="2:2" x14ac:dyDescent="0.35">
      <c r="B5202"/>
    </row>
    <row r="5203" spans="2:2" x14ac:dyDescent="0.35">
      <c r="B5203"/>
    </row>
    <row r="5204" spans="2:2" x14ac:dyDescent="0.35">
      <c r="B5204"/>
    </row>
    <row r="5205" spans="2:2" x14ac:dyDescent="0.35">
      <c r="B5205"/>
    </row>
    <row r="5206" spans="2:2" x14ac:dyDescent="0.35">
      <c r="B5206"/>
    </row>
    <row r="5207" spans="2:2" x14ac:dyDescent="0.35">
      <c r="B5207"/>
    </row>
    <row r="5208" spans="2:2" x14ac:dyDescent="0.35">
      <c r="B5208"/>
    </row>
    <row r="5209" spans="2:2" x14ac:dyDescent="0.35">
      <c r="B5209"/>
    </row>
    <row r="5210" spans="2:2" x14ac:dyDescent="0.35">
      <c r="B5210"/>
    </row>
    <row r="5211" spans="2:2" x14ac:dyDescent="0.35">
      <c r="B5211"/>
    </row>
    <row r="5212" spans="2:2" x14ac:dyDescent="0.35">
      <c r="B5212"/>
    </row>
    <row r="5213" spans="2:2" x14ac:dyDescent="0.35">
      <c r="B5213"/>
    </row>
    <row r="5214" spans="2:2" x14ac:dyDescent="0.35">
      <c r="B5214"/>
    </row>
    <row r="5215" spans="2:2" x14ac:dyDescent="0.35">
      <c r="B5215"/>
    </row>
    <row r="5216" spans="2:2" x14ac:dyDescent="0.35">
      <c r="B5216"/>
    </row>
    <row r="5217" spans="1:2" x14ac:dyDescent="0.35">
      <c r="B5217"/>
    </row>
    <row r="5218" spans="1:2" x14ac:dyDescent="0.35">
      <c r="B5218"/>
    </row>
    <row r="5219" spans="1:2" x14ac:dyDescent="0.35">
      <c r="B5219"/>
    </row>
    <row r="5220" spans="1:2" ht="15.5" x14ac:dyDescent="0.35">
      <c r="A5220" s="49"/>
      <c r="B5220" s="49"/>
    </row>
    <row r="5221" spans="1:2" x14ac:dyDescent="0.35">
      <c r="B5221"/>
    </row>
    <row r="5222" spans="1:2" x14ac:dyDescent="0.35">
      <c r="B5222"/>
    </row>
    <row r="5223" spans="1:2" x14ac:dyDescent="0.35">
      <c r="B5223"/>
    </row>
    <row r="5224" spans="1:2" x14ac:dyDescent="0.35">
      <c r="B5224"/>
    </row>
    <row r="5225" spans="1:2" x14ac:dyDescent="0.35">
      <c r="B5225"/>
    </row>
    <row r="5226" spans="1:2" x14ac:dyDescent="0.35">
      <c r="B5226"/>
    </row>
    <row r="5227" spans="1:2" x14ac:dyDescent="0.35">
      <c r="B5227"/>
    </row>
    <row r="5228" spans="1:2" x14ac:dyDescent="0.35">
      <c r="B5228"/>
    </row>
    <row r="5229" spans="1:2" x14ac:dyDescent="0.35">
      <c r="B5229"/>
    </row>
    <row r="5230" spans="1:2" ht="15.5" x14ac:dyDescent="0.35">
      <c r="A5230" s="49"/>
      <c r="B5230"/>
    </row>
    <row r="5231" spans="1:2" x14ac:dyDescent="0.35">
      <c r="B5231"/>
    </row>
    <row r="5232" spans="1:2" x14ac:dyDescent="0.35">
      <c r="B5232"/>
    </row>
    <row r="5233" spans="1:2" x14ac:dyDescent="0.35">
      <c r="B5233"/>
    </row>
    <row r="5234" spans="1:2" x14ac:dyDescent="0.35">
      <c r="B5234"/>
    </row>
    <row r="5235" spans="1:2" x14ac:dyDescent="0.35">
      <c r="B5235"/>
    </row>
    <row r="5236" spans="1:2" x14ac:dyDescent="0.35">
      <c r="B5236"/>
    </row>
    <row r="5237" spans="1:2" x14ac:dyDescent="0.35">
      <c r="B5237"/>
    </row>
    <row r="5238" spans="1:2" x14ac:dyDescent="0.35">
      <c r="B5238"/>
    </row>
    <row r="5239" spans="1:2" ht="15.5" x14ac:dyDescent="0.35">
      <c r="A5239" s="49"/>
      <c r="B5239" s="49"/>
    </row>
    <row r="5240" spans="1:2" x14ac:dyDescent="0.35">
      <c r="B5240"/>
    </row>
    <row r="5241" spans="1:2" x14ac:dyDescent="0.35">
      <c r="B5241"/>
    </row>
    <row r="5242" spans="1:2" x14ac:dyDescent="0.35">
      <c r="B5242"/>
    </row>
    <row r="5243" spans="1:2" x14ac:dyDescent="0.35">
      <c r="B5243"/>
    </row>
    <row r="5244" spans="1:2" x14ac:dyDescent="0.35">
      <c r="B5244"/>
    </row>
    <row r="5245" spans="1:2" x14ac:dyDescent="0.35">
      <c r="B5245"/>
    </row>
    <row r="5246" spans="1:2" x14ac:dyDescent="0.35">
      <c r="B5246"/>
    </row>
    <row r="5247" spans="1:2" x14ac:dyDescent="0.35">
      <c r="B5247"/>
    </row>
    <row r="5248" spans="1:2" x14ac:dyDescent="0.35">
      <c r="B5248"/>
    </row>
    <row r="5249" spans="1:2" ht="15.5" x14ac:dyDescent="0.35">
      <c r="A5249" s="49"/>
      <c r="B5249"/>
    </row>
    <row r="5250" spans="1:2" x14ac:dyDescent="0.35">
      <c r="B5250"/>
    </row>
    <row r="5251" spans="1:2" x14ac:dyDescent="0.35">
      <c r="B5251"/>
    </row>
    <row r="5252" spans="1:2" x14ac:dyDescent="0.35">
      <c r="B5252"/>
    </row>
    <row r="5253" spans="1:2" x14ac:dyDescent="0.35">
      <c r="B5253"/>
    </row>
    <row r="5254" spans="1:2" x14ac:dyDescent="0.35">
      <c r="B5254"/>
    </row>
    <row r="5255" spans="1:2" x14ac:dyDescent="0.35">
      <c r="B5255"/>
    </row>
    <row r="5256" spans="1:2" x14ac:dyDescent="0.35">
      <c r="B5256"/>
    </row>
    <row r="5257" spans="1:2" x14ac:dyDescent="0.35">
      <c r="B5257"/>
    </row>
    <row r="5258" spans="1:2" ht="15.5" x14ac:dyDescent="0.35">
      <c r="A5258" s="49"/>
      <c r="B5258" s="49"/>
    </row>
    <row r="5259" spans="1:2" x14ac:dyDescent="0.35">
      <c r="B5259"/>
    </row>
    <row r="5260" spans="1:2" x14ac:dyDescent="0.35">
      <c r="B5260"/>
    </row>
    <row r="5261" spans="1:2" x14ac:dyDescent="0.35">
      <c r="B5261"/>
    </row>
    <row r="5262" spans="1:2" x14ac:dyDescent="0.35">
      <c r="B5262"/>
    </row>
    <row r="5263" spans="1:2" x14ac:dyDescent="0.35">
      <c r="B5263"/>
    </row>
    <row r="5264" spans="1:2" x14ac:dyDescent="0.35">
      <c r="B5264"/>
    </row>
    <row r="5265" spans="1:2" x14ac:dyDescent="0.35">
      <c r="B5265"/>
    </row>
    <row r="5266" spans="1:2" x14ac:dyDescent="0.35">
      <c r="B5266"/>
    </row>
    <row r="5267" spans="1:2" x14ac:dyDescent="0.35">
      <c r="B5267"/>
    </row>
    <row r="5268" spans="1:2" ht="15.5" x14ac:dyDescent="0.35">
      <c r="A5268" s="49"/>
      <c r="B5268"/>
    </row>
    <row r="5269" spans="1:2" x14ac:dyDescent="0.35">
      <c r="B5269"/>
    </row>
    <row r="5270" spans="1:2" x14ac:dyDescent="0.35">
      <c r="B5270"/>
    </row>
    <row r="5271" spans="1:2" x14ac:dyDescent="0.35">
      <c r="B5271"/>
    </row>
    <row r="5272" spans="1:2" x14ac:dyDescent="0.35">
      <c r="B5272"/>
    </row>
    <row r="5273" spans="1:2" x14ac:dyDescent="0.35">
      <c r="B5273"/>
    </row>
    <row r="5274" spans="1:2" x14ac:dyDescent="0.35">
      <c r="B5274"/>
    </row>
    <row r="5275" spans="1:2" x14ac:dyDescent="0.35">
      <c r="B5275"/>
    </row>
    <row r="5276" spans="1:2" x14ac:dyDescent="0.35">
      <c r="B5276"/>
    </row>
    <row r="5277" spans="1:2" x14ac:dyDescent="0.35">
      <c r="B5277"/>
    </row>
    <row r="5278" spans="1:2" x14ac:dyDescent="0.35">
      <c r="B5278"/>
    </row>
    <row r="5279" spans="1:2" x14ac:dyDescent="0.35">
      <c r="B5279"/>
    </row>
    <row r="5280" spans="1:2" ht="15.5" x14ac:dyDescent="0.35">
      <c r="A5280" s="49"/>
      <c r="B5280" s="49"/>
    </row>
    <row r="5281" spans="1:2" x14ac:dyDescent="0.35">
      <c r="B5281"/>
    </row>
    <row r="5282" spans="1:2" x14ac:dyDescent="0.35">
      <c r="B5282"/>
    </row>
    <row r="5283" spans="1:2" x14ac:dyDescent="0.35">
      <c r="B5283"/>
    </row>
    <row r="5284" spans="1:2" x14ac:dyDescent="0.35">
      <c r="B5284"/>
    </row>
    <row r="5285" spans="1:2" x14ac:dyDescent="0.35">
      <c r="B5285"/>
    </row>
    <row r="5286" spans="1:2" x14ac:dyDescent="0.35">
      <c r="B5286"/>
    </row>
    <row r="5287" spans="1:2" x14ac:dyDescent="0.35">
      <c r="B5287"/>
    </row>
    <row r="5288" spans="1:2" x14ac:dyDescent="0.35">
      <c r="B5288"/>
    </row>
    <row r="5289" spans="1:2" x14ac:dyDescent="0.35">
      <c r="B5289"/>
    </row>
    <row r="5290" spans="1:2" ht="15.5" x14ac:dyDescent="0.35">
      <c r="A5290" s="49"/>
      <c r="B5290"/>
    </row>
    <row r="5291" spans="1:2" x14ac:dyDescent="0.35">
      <c r="B5291"/>
    </row>
    <row r="5292" spans="1:2" x14ac:dyDescent="0.35">
      <c r="B5292"/>
    </row>
    <row r="5293" spans="1:2" x14ac:dyDescent="0.35">
      <c r="B5293"/>
    </row>
    <row r="5294" spans="1:2" x14ac:dyDescent="0.35">
      <c r="B5294"/>
    </row>
    <row r="5295" spans="1:2" x14ac:dyDescent="0.35">
      <c r="B5295"/>
    </row>
    <row r="5296" spans="1:2" x14ac:dyDescent="0.35">
      <c r="B5296"/>
    </row>
    <row r="5297" spans="1:2" x14ac:dyDescent="0.35">
      <c r="B5297"/>
    </row>
    <row r="5298" spans="1:2" x14ac:dyDescent="0.35">
      <c r="B5298"/>
    </row>
    <row r="5299" spans="1:2" x14ac:dyDescent="0.35">
      <c r="B5299"/>
    </row>
    <row r="5300" spans="1:2" x14ac:dyDescent="0.35">
      <c r="B5300"/>
    </row>
    <row r="5301" spans="1:2" x14ac:dyDescent="0.35">
      <c r="B5301"/>
    </row>
    <row r="5302" spans="1:2" ht="15.5" x14ac:dyDescent="0.35">
      <c r="A5302" s="49"/>
      <c r="B5302" s="49"/>
    </row>
    <row r="5303" spans="1:2" x14ac:dyDescent="0.35">
      <c r="B5303"/>
    </row>
    <row r="5304" spans="1:2" x14ac:dyDescent="0.35">
      <c r="B5304"/>
    </row>
    <row r="5305" spans="1:2" x14ac:dyDescent="0.35">
      <c r="B5305"/>
    </row>
    <row r="5306" spans="1:2" x14ac:dyDescent="0.35">
      <c r="B5306"/>
    </row>
    <row r="5307" spans="1:2" x14ac:dyDescent="0.35">
      <c r="B5307"/>
    </row>
    <row r="5308" spans="1:2" x14ac:dyDescent="0.35">
      <c r="B5308"/>
    </row>
    <row r="5309" spans="1:2" x14ac:dyDescent="0.35">
      <c r="B5309"/>
    </row>
    <row r="5310" spans="1:2" x14ac:dyDescent="0.35">
      <c r="B5310"/>
    </row>
    <row r="5311" spans="1:2" x14ac:dyDescent="0.35">
      <c r="B5311"/>
    </row>
    <row r="5312" spans="1:2" ht="15.5" x14ac:dyDescent="0.35">
      <c r="A5312" s="49"/>
      <c r="B5312"/>
    </row>
    <row r="5313" spans="1:2" x14ac:dyDescent="0.35">
      <c r="B5313"/>
    </row>
    <row r="5314" spans="1:2" x14ac:dyDescent="0.35">
      <c r="B5314"/>
    </row>
    <row r="5315" spans="1:2" x14ac:dyDescent="0.35">
      <c r="B5315"/>
    </row>
    <row r="5316" spans="1:2" x14ac:dyDescent="0.35">
      <c r="B5316"/>
    </row>
    <row r="5317" spans="1:2" x14ac:dyDescent="0.35">
      <c r="B5317"/>
    </row>
    <row r="5318" spans="1:2" x14ac:dyDescent="0.35">
      <c r="B5318"/>
    </row>
    <row r="5319" spans="1:2" x14ac:dyDescent="0.35">
      <c r="B5319"/>
    </row>
    <row r="5320" spans="1:2" x14ac:dyDescent="0.35">
      <c r="B5320"/>
    </row>
    <row r="5321" spans="1:2" x14ac:dyDescent="0.35">
      <c r="B5321"/>
    </row>
    <row r="5322" spans="1:2" x14ac:dyDescent="0.35">
      <c r="B5322"/>
    </row>
    <row r="5323" spans="1:2" x14ac:dyDescent="0.35">
      <c r="B5323"/>
    </row>
    <row r="5324" spans="1:2" ht="15.5" x14ac:dyDescent="0.35">
      <c r="A5324" s="49"/>
      <c r="B5324" s="49"/>
    </row>
    <row r="5325" spans="1:2" x14ac:dyDescent="0.35">
      <c r="B5325"/>
    </row>
    <row r="5326" spans="1:2" x14ac:dyDescent="0.35">
      <c r="B5326"/>
    </row>
    <row r="5327" spans="1:2" x14ac:dyDescent="0.35">
      <c r="B5327"/>
    </row>
    <row r="5328" spans="1:2" x14ac:dyDescent="0.35">
      <c r="B5328"/>
    </row>
    <row r="5329" spans="1:2" x14ac:dyDescent="0.35">
      <c r="B5329"/>
    </row>
    <row r="5330" spans="1:2" x14ac:dyDescent="0.35">
      <c r="B5330"/>
    </row>
    <row r="5331" spans="1:2" x14ac:dyDescent="0.35">
      <c r="B5331"/>
    </row>
    <row r="5332" spans="1:2" x14ac:dyDescent="0.35">
      <c r="B5332"/>
    </row>
    <row r="5333" spans="1:2" x14ac:dyDescent="0.35">
      <c r="B5333"/>
    </row>
    <row r="5334" spans="1:2" ht="15.5" x14ac:dyDescent="0.35">
      <c r="A5334" s="49"/>
      <c r="B5334"/>
    </row>
    <row r="5335" spans="1:2" x14ac:dyDescent="0.35">
      <c r="B5335"/>
    </row>
    <row r="5336" spans="1:2" x14ac:dyDescent="0.35">
      <c r="B5336"/>
    </row>
    <row r="5337" spans="1:2" x14ac:dyDescent="0.35">
      <c r="B5337"/>
    </row>
    <row r="5338" spans="1:2" x14ac:dyDescent="0.35">
      <c r="B5338"/>
    </row>
    <row r="5339" spans="1:2" x14ac:dyDescent="0.35">
      <c r="B5339"/>
    </row>
    <row r="5340" spans="1:2" x14ac:dyDescent="0.35">
      <c r="B5340"/>
    </row>
    <row r="5341" spans="1:2" x14ac:dyDescent="0.35">
      <c r="B5341"/>
    </row>
    <row r="5342" spans="1:2" x14ac:dyDescent="0.35">
      <c r="B5342"/>
    </row>
    <row r="5343" spans="1:2" x14ac:dyDescent="0.35">
      <c r="B5343"/>
    </row>
    <row r="5344" spans="1:2" x14ac:dyDescent="0.35">
      <c r="B5344"/>
    </row>
    <row r="5345" spans="1:2" x14ac:dyDescent="0.35">
      <c r="B5345"/>
    </row>
    <row r="5346" spans="1:2" ht="15.5" x14ac:dyDescent="0.35">
      <c r="A5346" s="49"/>
      <c r="B5346" s="49"/>
    </row>
    <row r="5347" spans="1:2" x14ac:dyDescent="0.35">
      <c r="B5347"/>
    </row>
    <row r="5348" spans="1:2" x14ac:dyDescent="0.35">
      <c r="B5348"/>
    </row>
    <row r="5349" spans="1:2" x14ac:dyDescent="0.35">
      <c r="B5349"/>
    </row>
    <row r="5350" spans="1:2" x14ac:dyDescent="0.35">
      <c r="B5350"/>
    </row>
    <row r="5351" spans="1:2" x14ac:dyDescent="0.35">
      <c r="B5351"/>
    </row>
    <row r="5352" spans="1:2" x14ac:dyDescent="0.35">
      <c r="B5352"/>
    </row>
    <row r="5353" spans="1:2" x14ac:dyDescent="0.35">
      <c r="B5353"/>
    </row>
    <row r="5354" spans="1:2" x14ac:dyDescent="0.35">
      <c r="B5354"/>
    </row>
    <row r="5355" spans="1:2" x14ac:dyDescent="0.35">
      <c r="B5355"/>
    </row>
    <row r="5356" spans="1:2" ht="15.5" x14ac:dyDescent="0.35">
      <c r="A5356" s="49"/>
      <c r="B5356"/>
    </row>
    <row r="5357" spans="1:2" x14ac:dyDescent="0.35">
      <c r="B5357"/>
    </row>
    <row r="5358" spans="1:2" x14ac:dyDescent="0.35">
      <c r="B5358"/>
    </row>
    <row r="5359" spans="1:2" x14ac:dyDescent="0.35">
      <c r="B5359"/>
    </row>
    <row r="5360" spans="1:2" x14ac:dyDescent="0.35">
      <c r="B5360"/>
    </row>
    <row r="5361" spans="1:2" x14ac:dyDescent="0.35">
      <c r="B5361"/>
    </row>
    <row r="5362" spans="1:2" x14ac:dyDescent="0.35">
      <c r="B5362"/>
    </row>
    <row r="5363" spans="1:2" x14ac:dyDescent="0.35">
      <c r="B5363"/>
    </row>
    <row r="5364" spans="1:2" x14ac:dyDescent="0.35">
      <c r="B5364"/>
    </row>
    <row r="5365" spans="1:2" x14ac:dyDescent="0.35">
      <c r="B5365"/>
    </row>
    <row r="5366" spans="1:2" x14ac:dyDescent="0.35">
      <c r="B5366"/>
    </row>
    <row r="5367" spans="1:2" x14ac:dyDescent="0.35">
      <c r="B5367"/>
    </row>
    <row r="5368" spans="1:2" ht="15.5" x14ac:dyDescent="0.35">
      <c r="A5368" s="49"/>
      <c r="B5368" s="49"/>
    </row>
    <row r="5369" spans="1:2" x14ac:dyDescent="0.35">
      <c r="B5369"/>
    </row>
    <row r="5370" spans="1:2" x14ac:dyDescent="0.35">
      <c r="B5370"/>
    </row>
    <row r="5371" spans="1:2" x14ac:dyDescent="0.35">
      <c r="B5371"/>
    </row>
    <row r="5372" spans="1:2" x14ac:dyDescent="0.35">
      <c r="B5372"/>
    </row>
    <row r="5373" spans="1:2" x14ac:dyDescent="0.35">
      <c r="B5373"/>
    </row>
    <row r="5374" spans="1:2" x14ac:dyDescent="0.35">
      <c r="B5374"/>
    </row>
    <row r="5375" spans="1:2" x14ac:dyDescent="0.35">
      <c r="B5375"/>
    </row>
    <row r="5376" spans="1:2" x14ac:dyDescent="0.35">
      <c r="B5376"/>
    </row>
    <row r="5377" spans="1:2" x14ac:dyDescent="0.35">
      <c r="B5377"/>
    </row>
    <row r="5378" spans="1:2" ht="15.5" x14ac:dyDescent="0.35">
      <c r="A5378" s="49"/>
      <c r="B5378"/>
    </row>
    <row r="5379" spans="1:2" x14ac:dyDescent="0.35">
      <c r="B5379"/>
    </row>
    <row r="5380" spans="1:2" x14ac:dyDescent="0.35">
      <c r="B5380"/>
    </row>
    <row r="5381" spans="1:2" x14ac:dyDescent="0.35">
      <c r="B5381"/>
    </row>
    <row r="5382" spans="1:2" x14ac:dyDescent="0.35">
      <c r="B5382"/>
    </row>
    <row r="5383" spans="1:2" x14ac:dyDescent="0.35">
      <c r="B5383"/>
    </row>
    <row r="5384" spans="1:2" x14ac:dyDescent="0.35">
      <c r="B5384"/>
    </row>
    <row r="5385" spans="1:2" x14ac:dyDescent="0.35">
      <c r="B5385"/>
    </row>
    <row r="5386" spans="1:2" x14ac:dyDescent="0.35">
      <c r="B5386"/>
    </row>
    <row r="5387" spans="1:2" x14ac:dyDescent="0.35">
      <c r="B5387"/>
    </row>
    <row r="5388" spans="1:2" x14ac:dyDescent="0.35">
      <c r="B5388"/>
    </row>
    <row r="5389" spans="1:2" x14ac:dyDescent="0.35">
      <c r="B5389"/>
    </row>
    <row r="5390" spans="1:2" ht="15.5" x14ac:dyDescent="0.35">
      <c r="A5390" s="49"/>
      <c r="B5390" s="49"/>
    </row>
    <row r="5391" spans="1:2" x14ac:dyDescent="0.35">
      <c r="B5391"/>
    </row>
    <row r="5392" spans="1:2" x14ac:dyDescent="0.35">
      <c r="B5392"/>
    </row>
    <row r="5393" spans="1:2" x14ac:dyDescent="0.35">
      <c r="B5393"/>
    </row>
    <row r="5394" spans="1:2" x14ac:dyDescent="0.35">
      <c r="B5394"/>
    </row>
    <row r="5395" spans="1:2" x14ac:dyDescent="0.35">
      <c r="B5395"/>
    </row>
    <row r="5396" spans="1:2" x14ac:dyDescent="0.35">
      <c r="B5396"/>
    </row>
    <row r="5397" spans="1:2" x14ac:dyDescent="0.35">
      <c r="B5397"/>
    </row>
    <row r="5398" spans="1:2" x14ac:dyDescent="0.35">
      <c r="B5398"/>
    </row>
    <row r="5399" spans="1:2" x14ac:dyDescent="0.35">
      <c r="B5399"/>
    </row>
    <row r="5400" spans="1:2" ht="15.5" x14ac:dyDescent="0.35">
      <c r="A5400" s="49"/>
      <c r="B5400"/>
    </row>
    <row r="5401" spans="1:2" x14ac:dyDescent="0.35">
      <c r="B5401"/>
    </row>
    <row r="5402" spans="1:2" x14ac:dyDescent="0.35">
      <c r="B5402"/>
    </row>
    <row r="5403" spans="1:2" x14ac:dyDescent="0.35">
      <c r="B5403"/>
    </row>
    <row r="5404" spans="1:2" x14ac:dyDescent="0.35">
      <c r="B5404"/>
    </row>
    <row r="5405" spans="1:2" x14ac:dyDescent="0.35">
      <c r="B5405"/>
    </row>
    <row r="5406" spans="1:2" x14ac:dyDescent="0.35">
      <c r="B5406"/>
    </row>
    <row r="5407" spans="1:2" x14ac:dyDescent="0.35">
      <c r="B5407"/>
    </row>
    <row r="5408" spans="1:2" x14ac:dyDescent="0.35">
      <c r="B5408"/>
    </row>
    <row r="5409" spans="1:2" x14ac:dyDescent="0.35">
      <c r="B5409"/>
    </row>
    <row r="5410" spans="1:2" x14ac:dyDescent="0.35">
      <c r="B5410"/>
    </row>
    <row r="5411" spans="1:2" x14ac:dyDescent="0.35">
      <c r="B5411"/>
    </row>
    <row r="5412" spans="1:2" ht="15.5" x14ac:dyDescent="0.35">
      <c r="A5412" s="49"/>
      <c r="B5412" s="49"/>
    </row>
    <row r="5413" spans="1:2" x14ac:dyDescent="0.35">
      <c r="B5413"/>
    </row>
    <row r="5414" spans="1:2" x14ac:dyDescent="0.35">
      <c r="B5414"/>
    </row>
    <row r="5415" spans="1:2" x14ac:dyDescent="0.35">
      <c r="B5415"/>
    </row>
    <row r="5416" spans="1:2" x14ac:dyDescent="0.35">
      <c r="B5416"/>
    </row>
    <row r="5417" spans="1:2" x14ac:dyDescent="0.35">
      <c r="B5417"/>
    </row>
    <row r="5418" spans="1:2" x14ac:dyDescent="0.35">
      <c r="B5418"/>
    </row>
    <row r="5419" spans="1:2" x14ac:dyDescent="0.35">
      <c r="B5419"/>
    </row>
    <row r="5420" spans="1:2" x14ac:dyDescent="0.35">
      <c r="B5420"/>
    </row>
    <row r="5421" spans="1:2" x14ac:dyDescent="0.35">
      <c r="B5421"/>
    </row>
    <row r="5422" spans="1:2" ht="15.5" x14ac:dyDescent="0.35">
      <c r="A5422" s="49"/>
      <c r="B5422"/>
    </row>
    <row r="5423" spans="1:2" x14ac:dyDescent="0.35">
      <c r="B5423"/>
    </row>
    <row r="5424" spans="1:2" x14ac:dyDescent="0.35">
      <c r="B5424"/>
    </row>
    <row r="5425" spans="1:2" x14ac:dyDescent="0.35">
      <c r="B5425"/>
    </row>
    <row r="5426" spans="1:2" x14ac:dyDescent="0.35">
      <c r="B5426"/>
    </row>
    <row r="5427" spans="1:2" x14ac:dyDescent="0.35">
      <c r="B5427"/>
    </row>
    <row r="5428" spans="1:2" x14ac:dyDescent="0.35">
      <c r="B5428"/>
    </row>
    <row r="5429" spans="1:2" x14ac:dyDescent="0.35">
      <c r="B5429"/>
    </row>
    <row r="5430" spans="1:2" x14ac:dyDescent="0.35">
      <c r="B5430"/>
    </row>
    <row r="5431" spans="1:2" x14ac:dyDescent="0.35">
      <c r="B5431"/>
    </row>
    <row r="5432" spans="1:2" x14ac:dyDescent="0.35">
      <c r="B5432"/>
    </row>
    <row r="5433" spans="1:2" x14ac:dyDescent="0.35">
      <c r="B5433"/>
    </row>
    <row r="5434" spans="1:2" ht="15.5" x14ac:dyDescent="0.35">
      <c r="A5434" s="49"/>
      <c r="B5434" s="49"/>
    </row>
    <row r="5435" spans="1:2" x14ac:dyDescent="0.35">
      <c r="B5435"/>
    </row>
    <row r="5436" spans="1:2" x14ac:dyDescent="0.35">
      <c r="B5436"/>
    </row>
    <row r="5437" spans="1:2" x14ac:dyDescent="0.35">
      <c r="B5437"/>
    </row>
    <row r="5438" spans="1:2" x14ac:dyDescent="0.35">
      <c r="B5438"/>
    </row>
    <row r="5439" spans="1:2" x14ac:dyDescent="0.35">
      <c r="B5439"/>
    </row>
    <row r="5440" spans="1:2" x14ac:dyDescent="0.35">
      <c r="B5440"/>
    </row>
    <row r="5441" spans="1:2" x14ac:dyDescent="0.35">
      <c r="B5441"/>
    </row>
    <row r="5442" spans="1:2" x14ac:dyDescent="0.35">
      <c r="B5442"/>
    </row>
    <row r="5443" spans="1:2" x14ac:dyDescent="0.35">
      <c r="B5443"/>
    </row>
    <row r="5444" spans="1:2" ht="15.5" x14ac:dyDescent="0.35">
      <c r="A5444" s="49"/>
      <c r="B5444"/>
    </row>
    <row r="5445" spans="1:2" x14ac:dyDescent="0.35">
      <c r="B5445"/>
    </row>
    <row r="5446" spans="1:2" x14ac:dyDescent="0.35">
      <c r="B5446"/>
    </row>
    <row r="5447" spans="1:2" x14ac:dyDescent="0.35">
      <c r="B5447"/>
    </row>
    <row r="5448" spans="1:2" x14ac:dyDescent="0.35">
      <c r="B5448"/>
    </row>
    <row r="5449" spans="1:2" x14ac:dyDescent="0.35">
      <c r="B5449"/>
    </row>
    <row r="5450" spans="1:2" x14ac:dyDescent="0.35">
      <c r="B5450"/>
    </row>
    <row r="5451" spans="1:2" x14ac:dyDescent="0.35">
      <c r="B5451"/>
    </row>
    <row r="5452" spans="1:2" x14ac:dyDescent="0.35">
      <c r="B5452"/>
    </row>
    <row r="5453" spans="1:2" x14ac:dyDescent="0.35">
      <c r="B5453"/>
    </row>
    <row r="5454" spans="1:2" x14ac:dyDescent="0.35">
      <c r="B5454"/>
    </row>
    <row r="5455" spans="1:2" x14ac:dyDescent="0.35">
      <c r="B5455"/>
    </row>
    <row r="5456" spans="1:2" ht="15.5" x14ac:dyDescent="0.35">
      <c r="A5456" s="49"/>
      <c r="B5456" s="49"/>
    </row>
    <row r="5457" spans="1:2" x14ac:dyDescent="0.35">
      <c r="B5457"/>
    </row>
    <row r="5458" spans="1:2" x14ac:dyDescent="0.35">
      <c r="B5458"/>
    </row>
    <row r="5459" spans="1:2" x14ac:dyDescent="0.35">
      <c r="B5459"/>
    </row>
    <row r="5460" spans="1:2" x14ac:dyDescent="0.35">
      <c r="B5460"/>
    </row>
    <row r="5461" spans="1:2" x14ac:dyDescent="0.35">
      <c r="B5461"/>
    </row>
    <row r="5462" spans="1:2" x14ac:dyDescent="0.35">
      <c r="B5462"/>
    </row>
    <row r="5463" spans="1:2" x14ac:dyDescent="0.35">
      <c r="B5463"/>
    </row>
    <row r="5464" spans="1:2" x14ac:dyDescent="0.35">
      <c r="B5464"/>
    </row>
    <row r="5465" spans="1:2" x14ac:dyDescent="0.35">
      <c r="B5465"/>
    </row>
    <row r="5466" spans="1:2" ht="15.5" x14ac:dyDescent="0.35">
      <c r="A5466" s="49"/>
      <c r="B5466"/>
    </row>
    <row r="5467" spans="1:2" x14ac:dyDescent="0.35">
      <c r="B5467"/>
    </row>
    <row r="5468" spans="1:2" x14ac:dyDescent="0.35">
      <c r="B5468"/>
    </row>
    <row r="5469" spans="1:2" x14ac:dyDescent="0.35">
      <c r="B5469"/>
    </row>
    <row r="5470" spans="1:2" x14ac:dyDescent="0.35">
      <c r="B5470"/>
    </row>
    <row r="5471" spans="1:2" x14ac:dyDescent="0.35">
      <c r="B5471"/>
    </row>
    <row r="5472" spans="1:2" x14ac:dyDescent="0.35">
      <c r="B5472"/>
    </row>
    <row r="5473" spans="1:2" x14ac:dyDescent="0.35">
      <c r="B5473"/>
    </row>
    <row r="5474" spans="1:2" x14ac:dyDescent="0.35">
      <c r="B5474"/>
    </row>
    <row r="5475" spans="1:2" x14ac:dyDescent="0.35">
      <c r="B5475"/>
    </row>
    <row r="5476" spans="1:2" x14ac:dyDescent="0.35">
      <c r="B5476"/>
    </row>
    <row r="5477" spans="1:2" x14ac:dyDescent="0.35">
      <c r="B5477"/>
    </row>
    <row r="5478" spans="1:2" ht="15.5" x14ac:dyDescent="0.35">
      <c r="A5478" s="49"/>
      <c r="B5478" s="49"/>
    </row>
    <row r="5479" spans="1:2" x14ac:dyDescent="0.35">
      <c r="B5479"/>
    </row>
    <row r="5480" spans="1:2" x14ac:dyDescent="0.35">
      <c r="B5480"/>
    </row>
    <row r="5481" spans="1:2" x14ac:dyDescent="0.35">
      <c r="B5481"/>
    </row>
    <row r="5482" spans="1:2" x14ac:dyDescent="0.35">
      <c r="B5482"/>
    </row>
    <row r="5483" spans="1:2" x14ac:dyDescent="0.35">
      <c r="B5483"/>
    </row>
    <row r="5484" spans="1:2" x14ac:dyDescent="0.35">
      <c r="B5484"/>
    </row>
    <row r="5485" spans="1:2" x14ac:dyDescent="0.35">
      <c r="B5485"/>
    </row>
    <row r="5486" spans="1:2" x14ac:dyDescent="0.35">
      <c r="B5486"/>
    </row>
    <row r="5487" spans="1:2" x14ac:dyDescent="0.35">
      <c r="B5487"/>
    </row>
    <row r="5488" spans="1:2" ht="15.5" x14ac:dyDescent="0.35">
      <c r="A5488" s="49"/>
      <c r="B5488"/>
    </row>
    <row r="5489" spans="1:2" x14ac:dyDescent="0.35">
      <c r="B5489"/>
    </row>
    <row r="5490" spans="1:2" x14ac:dyDescent="0.35">
      <c r="B5490"/>
    </row>
    <row r="5491" spans="1:2" x14ac:dyDescent="0.35">
      <c r="B5491"/>
    </row>
    <row r="5492" spans="1:2" x14ac:dyDescent="0.35">
      <c r="B5492"/>
    </row>
    <row r="5493" spans="1:2" x14ac:dyDescent="0.35">
      <c r="B5493"/>
    </row>
    <row r="5494" spans="1:2" x14ac:dyDescent="0.35">
      <c r="B5494"/>
    </row>
    <row r="5495" spans="1:2" x14ac:dyDescent="0.35">
      <c r="B5495"/>
    </row>
    <row r="5496" spans="1:2" x14ac:dyDescent="0.35">
      <c r="B5496"/>
    </row>
    <row r="5497" spans="1:2" x14ac:dyDescent="0.35">
      <c r="B5497"/>
    </row>
    <row r="5498" spans="1:2" x14ac:dyDescent="0.35">
      <c r="B5498"/>
    </row>
    <row r="5499" spans="1:2" x14ac:dyDescent="0.35">
      <c r="B5499"/>
    </row>
    <row r="5500" spans="1:2" ht="15.5" x14ac:dyDescent="0.35">
      <c r="A5500" s="49"/>
      <c r="B5500" s="49"/>
    </row>
    <row r="5501" spans="1:2" x14ac:dyDescent="0.35">
      <c r="B5501"/>
    </row>
    <row r="5502" spans="1:2" x14ac:dyDescent="0.35">
      <c r="B5502"/>
    </row>
    <row r="5503" spans="1:2" x14ac:dyDescent="0.35">
      <c r="B5503"/>
    </row>
    <row r="5504" spans="1:2" x14ac:dyDescent="0.35">
      <c r="B5504"/>
    </row>
    <row r="5505" spans="1:2" x14ac:dyDescent="0.35">
      <c r="B5505"/>
    </row>
    <row r="5506" spans="1:2" x14ac:dyDescent="0.35">
      <c r="B5506"/>
    </row>
    <row r="5507" spans="1:2" x14ac:dyDescent="0.35">
      <c r="B5507"/>
    </row>
    <row r="5508" spans="1:2" x14ac:dyDescent="0.35">
      <c r="B5508"/>
    </row>
    <row r="5509" spans="1:2" x14ac:dyDescent="0.35">
      <c r="B5509"/>
    </row>
    <row r="5510" spans="1:2" ht="15.5" x14ac:dyDescent="0.35">
      <c r="A5510" s="49"/>
      <c r="B5510"/>
    </row>
    <row r="5511" spans="1:2" x14ac:dyDescent="0.35">
      <c r="B5511"/>
    </row>
    <row r="5512" spans="1:2" x14ac:dyDescent="0.35">
      <c r="B5512"/>
    </row>
    <row r="5513" spans="1:2" x14ac:dyDescent="0.35">
      <c r="B5513"/>
    </row>
    <row r="5514" spans="1:2" x14ac:dyDescent="0.35">
      <c r="B5514"/>
    </row>
    <row r="5515" spans="1:2" x14ac:dyDescent="0.35">
      <c r="B5515"/>
    </row>
    <row r="5516" spans="1:2" x14ac:dyDescent="0.35">
      <c r="B5516"/>
    </row>
    <row r="5517" spans="1:2" x14ac:dyDescent="0.35">
      <c r="B5517"/>
    </row>
    <row r="5518" spans="1:2" x14ac:dyDescent="0.35">
      <c r="B5518"/>
    </row>
    <row r="5519" spans="1:2" x14ac:dyDescent="0.35">
      <c r="B5519"/>
    </row>
    <row r="5520" spans="1:2" x14ac:dyDescent="0.35">
      <c r="B5520"/>
    </row>
    <row r="5521" spans="1:2" x14ac:dyDescent="0.35">
      <c r="B5521"/>
    </row>
    <row r="5522" spans="1:2" ht="15.5" x14ac:dyDescent="0.35">
      <c r="A5522" s="49"/>
      <c r="B5522" s="49"/>
    </row>
    <row r="5523" spans="1:2" x14ac:dyDescent="0.35">
      <c r="B5523"/>
    </row>
    <row r="5524" spans="1:2" x14ac:dyDescent="0.35">
      <c r="B5524"/>
    </row>
    <row r="5525" spans="1:2" x14ac:dyDescent="0.35">
      <c r="B5525"/>
    </row>
    <row r="5526" spans="1:2" x14ac:dyDescent="0.35">
      <c r="B5526"/>
    </row>
    <row r="5527" spans="1:2" x14ac:dyDescent="0.35">
      <c r="B5527"/>
    </row>
    <row r="5528" spans="1:2" x14ac:dyDescent="0.35">
      <c r="B5528"/>
    </row>
    <row r="5529" spans="1:2" x14ac:dyDescent="0.35">
      <c r="B5529"/>
    </row>
    <row r="5530" spans="1:2" x14ac:dyDescent="0.35">
      <c r="B5530"/>
    </row>
    <row r="5531" spans="1:2" x14ac:dyDescent="0.35">
      <c r="B5531"/>
    </row>
    <row r="5532" spans="1:2" ht="15.5" x14ac:dyDescent="0.35">
      <c r="A5532" s="49"/>
      <c r="B5532"/>
    </row>
    <row r="5533" spans="1:2" x14ac:dyDescent="0.35">
      <c r="B5533"/>
    </row>
    <row r="5534" spans="1:2" x14ac:dyDescent="0.35">
      <c r="B5534"/>
    </row>
    <row r="5535" spans="1:2" x14ac:dyDescent="0.35">
      <c r="B5535"/>
    </row>
    <row r="5536" spans="1:2" x14ac:dyDescent="0.35">
      <c r="B5536"/>
    </row>
    <row r="5537" spans="1:2" x14ac:dyDescent="0.35">
      <c r="B5537"/>
    </row>
    <row r="5538" spans="1:2" x14ac:dyDescent="0.35">
      <c r="B5538"/>
    </row>
    <row r="5539" spans="1:2" x14ac:dyDescent="0.35">
      <c r="B5539"/>
    </row>
    <row r="5540" spans="1:2" x14ac:dyDescent="0.35">
      <c r="B5540"/>
    </row>
    <row r="5541" spans="1:2" x14ac:dyDescent="0.35">
      <c r="B5541"/>
    </row>
    <row r="5542" spans="1:2" x14ac:dyDescent="0.35">
      <c r="B5542"/>
    </row>
    <row r="5543" spans="1:2" x14ac:dyDescent="0.35">
      <c r="B5543"/>
    </row>
    <row r="5544" spans="1:2" ht="15.5" x14ac:dyDescent="0.35">
      <c r="A5544" s="49"/>
      <c r="B5544" s="49"/>
    </row>
    <row r="5545" spans="1:2" x14ac:dyDescent="0.35">
      <c r="B5545"/>
    </row>
    <row r="5546" spans="1:2" x14ac:dyDescent="0.35">
      <c r="B5546"/>
    </row>
    <row r="5547" spans="1:2" x14ac:dyDescent="0.35">
      <c r="B5547"/>
    </row>
    <row r="5548" spans="1:2" x14ac:dyDescent="0.35">
      <c r="B5548"/>
    </row>
    <row r="5549" spans="1:2" x14ac:dyDescent="0.35">
      <c r="B5549"/>
    </row>
    <row r="5550" spans="1:2" x14ac:dyDescent="0.35">
      <c r="B5550"/>
    </row>
    <row r="5551" spans="1:2" x14ac:dyDescent="0.35">
      <c r="B5551"/>
    </row>
    <row r="5552" spans="1:2" x14ac:dyDescent="0.35">
      <c r="B5552"/>
    </row>
    <row r="5553" spans="1:2" x14ac:dyDescent="0.35">
      <c r="B5553"/>
    </row>
    <row r="5554" spans="1:2" ht="15.5" x14ac:dyDescent="0.35">
      <c r="A5554" s="49"/>
      <c r="B5554"/>
    </row>
    <row r="5555" spans="1:2" x14ac:dyDescent="0.35">
      <c r="B5555"/>
    </row>
    <row r="5556" spans="1:2" x14ac:dyDescent="0.35">
      <c r="B5556"/>
    </row>
    <row r="5557" spans="1:2" x14ac:dyDescent="0.35">
      <c r="B5557"/>
    </row>
    <row r="5558" spans="1:2" x14ac:dyDescent="0.35">
      <c r="B5558"/>
    </row>
    <row r="5559" spans="1:2" x14ac:dyDescent="0.35">
      <c r="B5559"/>
    </row>
    <row r="5560" spans="1:2" x14ac:dyDescent="0.35">
      <c r="B5560"/>
    </row>
    <row r="5561" spans="1:2" x14ac:dyDescent="0.35">
      <c r="B5561"/>
    </row>
    <row r="5562" spans="1:2" x14ac:dyDescent="0.35">
      <c r="B5562"/>
    </row>
    <row r="5563" spans="1:2" x14ac:dyDescent="0.35">
      <c r="B5563"/>
    </row>
    <row r="5564" spans="1:2" x14ac:dyDescent="0.35">
      <c r="B5564"/>
    </row>
    <row r="5565" spans="1:2" x14ac:dyDescent="0.35">
      <c r="B5565"/>
    </row>
    <row r="5566" spans="1:2" ht="15.5" x14ac:dyDescent="0.35">
      <c r="A5566" s="49"/>
      <c r="B5566" s="49"/>
    </row>
    <row r="5567" spans="1:2" x14ac:dyDescent="0.35">
      <c r="B5567"/>
    </row>
    <row r="5568" spans="1:2" x14ac:dyDescent="0.35">
      <c r="B5568"/>
    </row>
    <row r="5569" spans="1:2" x14ac:dyDescent="0.35">
      <c r="B5569"/>
    </row>
    <row r="5570" spans="1:2" x14ac:dyDescent="0.35">
      <c r="B5570"/>
    </row>
    <row r="5571" spans="1:2" x14ac:dyDescent="0.35">
      <c r="B5571"/>
    </row>
    <row r="5572" spans="1:2" x14ac:dyDescent="0.35">
      <c r="B5572"/>
    </row>
    <row r="5573" spans="1:2" x14ac:dyDescent="0.35">
      <c r="B5573"/>
    </row>
    <row r="5574" spans="1:2" x14ac:dyDescent="0.35">
      <c r="B5574"/>
    </row>
    <row r="5575" spans="1:2" x14ac:dyDescent="0.35">
      <c r="B5575"/>
    </row>
    <row r="5576" spans="1:2" ht="15.5" x14ac:dyDescent="0.35">
      <c r="A5576" s="49"/>
      <c r="B5576"/>
    </row>
    <row r="5577" spans="1:2" x14ac:dyDescent="0.35">
      <c r="B5577"/>
    </row>
    <row r="5578" spans="1:2" x14ac:dyDescent="0.35">
      <c r="B5578"/>
    </row>
    <row r="5579" spans="1:2" x14ac:dyDescent="0.35">
      <c r="B5579"/>
    </row>
    <row r="5580" spans="1:2" x14ac:dyDescent="0.35">
      <c r="B5580"/>
    </row>
    <row r="5581" spans="1:2" x14ac:dyDescent="0.35">
      <c r="B5581"/>
    </row>
    <row r="5582" spans="1:2" x14ac:dyDescent="0.35">
      <c r="B5582"/>
    </row>
    <row r="5583" spans="1:2" x14ac:dyDescent="0.35">
      <c r="B5583"/>
    </row>
    <row r="5584" spans="1:2" x14ac:dyDescent="0.35">
      <c r="B5584"/>
    </row>
    <row r="5585" spans="1:2" x14ac:dyDescent="0.35">
      <c r="B5585"/>
    </row>
    <row r="5586" spans="1:2" x14ac:dyDescent="0.35">
      <c r="B5586"/>
    </row>
    <row r="5587" spans="1:2" x14ac:dyDescent="0.35">
      <c r="B5587"/>
    </row>
    <row r="5588" spans="1:2" ht="15.5" x14ac:dyDescent="0.35">
      <c r="A5588" s="49"/>
      <c r="B5588" s="49"/>
    </row>
    <row r="5589" spans="1:2" x14ac:dyDescent="0.35">
      <c r="B5589"/>
    </row>
    <row r="5590" spans="1:2" x14ac:dyDescent="0.35">
      <c r="B5590"/>
    </row>
    <row r="5591" spans="1:2" x14ac:dyDescent="0.35">
      <c r="B5591"/>
    </row>
    <row r="5592" spans="1:2" x14ac:dyDescent="0.35">
      <c r="B5592"/>
    </row>
    <row r="5593" spans="1:2" x14ac:dyDescent="0.35">
      <c r="B5593"/>
    </row>
    <row r="5594" spans="1:2" x14ac:dyDescent="0.35">
      <c r="B5594"/>
    </row>
    <row r="5595" spans="1:2" x14ac:dyDescent="0.35">
      <c r="B5595"/>
    </row>
    <row r="5596" spans="1:2" x14ac:dyDescent="0.35">
      <c r="B5596"/>
    </row>
    <row r="5597" spans="1:2" x14ac:dyDescent="0.35">
      <c r="B5597"/>
    </row>
    <row r="5598" spans="1:2" ht="15.5" x14ac:dyDescent="0.35">
      <c r="A5598" s="49"/>
      <c r="B5598"/>
    </row>
    <row r="5599" spans="1:2" x14ac:dyDescent="0.35">
      <c r="B5599"/>
    </row>
    <row r="5600" spans="1:2" x14ac:dyDescent="0.35">
      <c r="B5600"/>
    </row>
    <row r="5601" spans="1:2" x14ac:dyDescent="0.35">
      <c r="B5601"/>
    </row>
    <row r="5602" spans="1:2" x14ac:dyDescent="0.35">
      <c r="B5602"/>
    </row>
    <row r="5603" spans="1:2" x14ac:dyDescent="0.35">
      <c r="B5603"/>
    </row>
    <row r="5604" spans="1:2" x14ac:dyDescent="0.35">
      <c r="B5604"/>
    </row>
    <row r="5605" spans="1:2" x14ac:dyDescent="0.35">
      <c r="B5605"/>
    </row>
    <row r="5606" spans="1:2" x14ac:dyDescent="0.35">
      <c r="B5606"/>
    </row>
    <row r="5607" spans="1:2" x14ac:dyDescent="0.35">
      <c r="B5607"/>
    </row>
    <row r="5608" spans="1:2" x14ac:dyDescent="0.35">
      <c r="B5608"/>
    </row>
    <row r="5609" spans="1:2" x14ac:dyDescent="0.35">
      <c r="B5609"/>
    </row>
    <row r="5610" spans="1:2" ht="15.5" x14ac:dyDescent="0.35">
      <c r="A5610" s="49"/>
      <c r="B5610" s="49"/>
    </row>
    <row r="5611" spans="1:2" x14ac:dyDescent="0.35">
      <c r="B5611"/>
    </row>
    <row r="5612" spans="1:2" x14ac:dyDescent="0.35">
      <c r="B5612"/>
    </row>
    <row r="5613" spans="1:2" x14ac:dyDescent="0.35">
      <c r="B5613"/>
    </row>
    <row r="5614" spans="1:2" x14ac:dyDescent="0.35">
      <c r="B5614"/>
    </row>
    <row r="5615" spans="1:2" x14ac:dyDescent="0.35">
      <c r="B5615"/>
    </row>
    <row r="5616" spans="1:2" x14ac:dyDescent="0.35">
      <c r="B5616"/>
    </row>
    <row r="5617" spans="1:2" x14ac:dyDescent="0.35">
      <c r="B5617"/>
    </row>
    <row r="5618" spans="1:2" x14ac:dyDescent="0.35">
      <c r="B5618"/>
    </row>
    <row r="5619" spans="1:2" x14ac:dyDescent="0.35">
      <c r="B5619"/>
    </row>
    <row r="5620" spans="1:2" ht="15.5" x14ac:dyDescent="0.35">
      <c r="A5620" s="49"/>
      <c r="B5620"/>
    </row>
    <row r="5621" spans="1:2" x14ac:dyDescent="0.35">
      <c r="B5621"/>
    </row>
    <row r="5622" spans="1:2" x14ac:dyDescent="0.35">
      <c r="B5622"/>
    </row>
    <row r="5623" spans="1:2" x14ac:dyDescent="0.35">
      <c r="B5623"/>
    </row>
    <row r="5624" spans="1:2" x14ac:dyDescent="0.35">
      <c r="B5624"/>
    </row>
    <row r="5625" spans="1:2" x14ac:dyDescent="0.35">
      <c r="B5625"/>
    </row>
    <row r="5626" spans="1:2" x14ac:dyDescent="0.35">
      <c r="B5626"/>
    </row>
    <row r="5627" spans="1:2" x14ac:dyDescent="0.35">
      <c r="B5627"/>
    </row>
    <row r="5628" spans="1:2" x14ac:dyDescent="0.35">
      <c r="B5628"/>
    </row>
    <row r="5629" spans="1:2" x14ac:dyDescent="0.35">
      <c r="B5629"/>
    </row>
    <row r="5630" spans="1:2" x14ac:dyDescent="0.35">
      <c r="B5630"/>
    </row>
    <row r="5631" spans="1:2" x14ac:dyDescent="0.35">
      <c r="B5631"/>
    </row>
    <row r="5632" spans="1:2" ht="15.5" x14ac:dyDescent="0.35">
      <c r="A5632" s="49"/>
      <c r="B5632" s="49"/>
    </row>
    <row r="5633" spans="1:2" x14ac:dyDescent="0.35">
      <c r="B5633"/>
    </row>
    <row r="5634" spans="1:2" x14ac:dyDescent="0.35">
      <c r="B5634"/>
    </row>
    <row r="5635" spans="1:2" x14ac:dyDescent="0.35">
      <c r="B5635"/>
    </row>
    <row r="5636" spans="1:2" x14ac:dyDescent="0.35">
      <c r="B5636"/>
    </row>
    <row r="5637" spans="1:2" x14ac:dyDescent="0.35">
      <c r="B5637"/>
    </row>
    <row r="5638" spans="1:2" x14ac:dyDescent="0.35">
      <c r="B5638"/>
    </row>
    <row r="5639" spans="1:2" x14ac:dyDescent="0.35">
      <c r="B5639"/>
    </row>
    <row r="5640" spans="1:2" x14ac:dyDescent="0.35">
      <c r="B5640"/>
    </row>
    <row r="5641" spans="1:2" x14ac:dyDescent="0.35">
      <c r="B5641"/>
    </row>
    <row r="5642" spans="1:2" ht="15.5" x14ac:dyDescent="0.35">
      <c r="A5642" s="49"/>
      <c r="B5642"/>
    </row>
    <row r="5643" spans="1:2" x14ac:dyDescent="0.35">
      <c r="B5643"/>
    </row>
    <row r="5644" spans="1:2" x14ac:dyDescent="0.35">
      <c r="B5644"/>
    </row>
    <row r="5645" spans="1:2" x14ac:dyDescent="0.35">
      <c r="B5645"/>
    </row>
    <row r="5646" spans="1:2" x14ac:dyDescent="0.35">
      <c r="B5646"/>
    </row>
    <row r="5647" spans="1:2" x14ac:dyDescent="0.35">
      <c r="B5647"/>
    </row>
    <row r="5648" spans="1:2" x14ac:dyDescent="0.35">
      <c r="B5648"/>
    </row>
    <row r="5649" spans="1:2" x14ac:dyDescent="0.35">
      <c r="B5649"/>
    </row>
    <row r="5650" spans="1:2" x14ac:dyDescent="0.35">
      <c r="B5650"/>
    </row>
    <row r="5651" spans="1:2" x14ac:dyDescent="0.35">
      <c r="B5651"/>
    </row>
    <row r="5652" spans="1:2" x14ac:dyDescent="0.35">
      <c r="B5652"/>
    </row>
    <row r="5653" spans="1:2" x14ac:dyDescent="0.35">
      <c r="B5653"/>
    </row>
    <row r="5654" spans="1:2" ht="15.5" x14ac:dyDescent="0.35">
      <c r="A5654" s="49"/>
      <c r="B5654" s="49"/>
    </row>
    <row r="5655" spans="1:2" x14ac:dyDescent="0.35">
      <c r="B5655"/>
    </row>
    <row r="5656" spans="1:2" x14ac:dyDescent="0.35">
      <c r="B5656"/>
    </row>
    <row r="5657" spans="1:2" x14ac:dyDescent="0.35">
      <c r="B5657"/>
    </row>
    <row r="5658" spans="1:2" x14ac:dyDescent="0.35">
      <c r="B5658"/>
    </row>
    <row r="5659" spans="1:2" x14ac:dyDescent="0.35">
      <c r="B5659"/>
    </row>
    <row r="5660" spans="1:2" x14ac:dyDescent="0.35">
      <c r="B5660"/>
    </row>
    <row r="5661" spans="1:2" x14ac:dyDescent="0.35">
      <c r="B5661"/>
    </row>
    <row r="5662" spans="1:2" x14ac:dyDescent="0.35">
      <c r="B5662"/>
    </row>
    <row r="5663" spans="1:2" x14ac:dyDescent="0.35">
      <c r="B5663"/>
    </row>
    <row r="5664" spans="1:2" ht="15.5" x14ac:dyDescent="0.35">
      <c r="A5664" s="49"/>
      <c r="B5664"/>
    </row>
    <row r="5665" spans="1:2" x14ac:dyDescent="0.35">
      <c r="B5665"/>
    </row>
    <row r="5666" spans="1:2" x14ac:dyDescent="0.35">
      <c r="B5666"/>
    </row>
    <row r="5667" spans="1:2" x14ac:dyDescent="0.35">
      <c r="B5667"/>
    </row>
    <row r="5668" spans="1:2" x14ac:dyDescent="0.35">
      <c r="B5668"/>
    </row>
    <row r="5669" spans="1:2" x14ac:dyDescent="0.35">
      <c r="B5669"/>
    </row>
    <row r="5670" spans="1:2" x14ac:dyDescent="0.35">
      <c r="B5670"/>
    </row>
    <row r="5671" spans="1:2" x14ac:dyDescent="0.35">
      <c r="B5671"/>
    </row>
    <row r="5672" spans="1:2" x14ac:dyDescent="0.35">
      <c r="B5672"/>
    </row>
    <row r="5673" spans="1:2" x14ac:dyDescent="0.35">
      <c r="B5673"/>
    </row>
    <row r="5674" spans="1:2" x14ac:dyDescent="0.35">
      <c r="B5674"/>
    </row>
    <row r="5675" spans="1:2" x14ac:dyDescent="0.35">
      <c r="B5675"/>
    </row>
    <row r="5676" spans="1:2" ht="15.5" x14ac:dyDescent="0.35">
      <c r="A5676" s="49"/>
      <c r="B5676" s="49"/>
    </row>
    <row r="5677" spans="1:2" x14ac:dyDescent="0.35">
      <c r="B5677"/>
    </row>
    <row r="5678" spans="1:2" x14ac:dyDescent="0.35">
      <c r="B5678"/>
    </row>
    <row r="5679" spans="1:2" x14ac:dyDescent="0.35">
      <c r="B5679"/>
    </row>
    <row r="5680" spans="1:2" x14ac:dyDescent="0.35">
      <c r="B5680"/>
    </row>
    <row r="5681" spans="1:2" x14ac:dyDescent="0.35">
      <c r="B5681"/>
    </row>
    <row r="5682" spans="1:2" x14ac:dyDescent="0.35">
      <c r="B5682"/>
    </row>
    <row r="5683" spans="1:2" x14ac:dyDescent="0.35">
      <c r="B5683"/>
    </row>
    <row r="5684" spans="1:2" x14ac:dyDescent="0.35">
      <c r="B5684"/>
    </row>
    <row r="5685" spans="1:2" x14ac:dyDescent="0.35">
      <c r="B5685"/>
    </row>
    <row r="5686" spans="1:2" ht="15.5" x14ac:dyDescent="0.35">
      <c r="A5686" s="49"/>
      <c r="B5686"/>
    </row>
    <row r="5687" spans="1:2" x14ac:dyDescent="0.35">
      <c r="B5687"/>
    </row>
    <row r="5688" spans="1:2" x14ac:dyDescent="0.35">
      <c r="B5688"/>
    </row>
    <row r="5689" spans="1:2" x14ac:dyDescent="0.35">
      <c r="B5689"/>
    </row>
    <row r="5690" spans="1:2" x14ac:dyDescent="0.35">
      <c r="B5690"/>
    </row>
    <row r="5691" spans="1:2" x14ac:dyDescent="0.35">
      <c r="B5691"/>
    </row>
    <row r="5692" spans="1:2" x14ac:dyDescent="0.35">
      <c r="B5692"/>
    </row>
    <row r="5693" spans="1:2" x14ac:dyDescent="0.35">
      <c r="B5693"/>
    </row>
    <row r="5694" spans="1:2" x14ac:dyDescent="0.35">
      <c r="B5694"/>
    </row>
    <row r="5695" spans="1:2" x14ac:dyDescent="0.35">
      <c r="B5695"/>
    </row>
    <row r="5696" spans="1:2" x14ac:dyDescent="0.35">
      <c r="B5696"/>
    </row>
    <row r="5697" spans="1:2" x14ac:dyDescent="0.35">
      <c r="B5697"/>
    </row>
    <row r="5698" spans="1:2" ht="15.5" x14ac:dyDescent="0.35">
      <c r="A5698" s="49"/>
      <c r="B5698" s="49"/>
    </row>
    <row r="5699" spans="1:2" x14ac:dyDescent="0.35">
      <c r="B5699"/>
    </row>
    <row r="5700" spans="1:2" x14ac:dyDescent="0.35">
      <c r="B5700"/>
    </row>
    <row r="5701" spans="1:2" x14ac:dyDescent="0.35">
      <c r="B5701"/>
    </row>
    <row r="5702" spans="1:2" x14ac:dyDescent="0.35">
      <c r="B5702"/>
    </row>
    <row r="5703" spans="1:2" x14ac:dyDescent="0.35">
      <c r="B5703"/>
    </row>
    <row r="5704" spans="1:2" x14ac:dyDescent="0.35">
      <c r="B5704"/>
    </row>
    <row r="5705" spans="1:2" x14ac:dyDescent="0.35">
      <c r="B5705"/>
    </row>
    <row r="5706" spans="1:2" x14ac:dyDescent="0.35">
      <c r="B5706"/>
    </row>
    <row r="5707" spans="1:2" x14ac:dyDescent="0.35">
      <c r="B5707"/>
    </row>
    <row r="5708" spans="1:2" ht="15.5" x14ac:dyDescent="0.35">
      <c r="A5708" s="49"/>
      <c r="B5708"/>
    </row>
    <row r="5709" spans="1:2" x14ac:dyDescent="0.35">
      <c r="B5709"/>
    </row>
    <row r="5710" spans="1:2" x14ac:dyDescent="0.35">
      <c r="B5710"/>
    </row>
    <row r="5711" spans="1:2" x14ac:dyDescent="0.35">
      <c r="B5711"/>
    </row>
    <row r="5712" spans="1:2" x14ac:dyDescent="0.35">
      <c r="B5712"/>
    </row>
    <row r="5713" spans="1:2" x14ac:dyDescent="0.35">
      <c r="B5713"/>
    </row>
    <row r="5714" spans="1:2" x14ac:dyDescent="0.35">
      <c r="B5714"/>
    </row>
    <row r="5715" spans="1:2" x14ac:dyDescent="0.35">
      <c r="B5715"/>
    </row>
    <row r="5716" spans="1:2" x14ac:dyDescent="0.35">
      <c r="B5716"/>
    </row>
    <row r="5717" spans="1:2" x14ac:dyDescent="0.35">
      <c r="B5717"/>
    </row>
    <row r="5718" spans="1:2" x14ac:dyDescent="0.35">
      <c r="B5718"/>
    </row>
    <row r="5719" spans="1:2" x14ac:dyDescent="0.35">
      <c r="B5719"/>
    </row>
    <row r="5720" spans="1:2" ht="15.5" x14ac:dyDescent="0.35">
      <c r="A5720" s="49"/>
      <c r="B5720" s="49"/>
    </row>
    <row r="5721" spans="1:2" x14ac:dyDescent="0.35">
      <c r="B5721"/>
    </row>
    <row r="5722" spans="1:2" x14ac:dyDescent="0.35">
      <c r="B5722"/>
    </row>
    <row r="5723" spans="1:2" x14ac:dyDescent="0.35">
      <c r="B5723"/>
    </row>
    <row r="5724" spans="1:2" x14ac:dyDescent="0.35">
      <c r="B5724"/>
    </row>
    <row r="5725" spans="1:2" x14ac:dyDescent="0.35">
      <c r="B5725"/>
    </row>
    <row r="5726" spans="1:2" x14ac:dyDescent="0.35">
      <c r="B5726"/>
    </row>
    <row r="5727" spans="1:2" x14ac:dyDescent="0.35">
      <c r="B5727"/>
    </row>
    <row r="5728" spans="1:2" x14ac:dyDescent="0.35">
      <c r="B5728"/>
    </row>
    <row r="5729" spans="1:2" x14ac:dyDescent="0.35">
      <c r="B5729"/>
    </row>
    <row r="5730" spans="1:2" ht="15.5" x14ac:dyDescent="0.35">
      <c r="A5730" s="49"/>
      <c r="B5730"/>
    </row>
    <row r="5731" spans="1:2" x14ac:dyDescent="0.35">
      <c r="B5731"/>
    </row>
    <row r="5732" spans="1:2" x14ac:dyDescent="0.35">
      <c r="B5732"/>
    </row>
    <row r="5733" spans="1:2" x14ac:dyDescent="0.35">
      <c r="B5733"/>
    </row>
    <row r="5734" spans="1:2" x14ac:dyDescent="0.35">
      <c r="B5734"/>
    </row>
    <row r="5735" spans="1:2" x14ac:dyDescent="0.35">
      <c r="B5735"/>
    </row>
    <row r="5736" spans="1:2" x14ac:dyDescent="0.35">
      <c r="B5736"/>
    </row>
    <row r="5737" spans="1:2" x14ac:dyDescent="0.35">
      <c r="B5737"/>
    </row>
    <row r="5738" spans="1:2" x14ac:dyDescent="0.35">
      <c r="B5738"/>
    </row>
    <row r="5739" spans="1:2" x14ac:dyDescent="0.35">
      <c r="B5739"/>
    </row>
    <row r="5740" spans="1:2" x14ac:dyDescent="0.35">
      <c r="B5740"/>
    </row>
    <row r="5741" spans="1:2" x14ac:dyDescent="0.35">
      <c r="B5741"/>
    </row>
    <row r="5742" spans="1:2" ht="15.5" x14ac:dyDescent="0.35">
      <c r="A5742" s="49"/>
      <c r="B5742" s="49"/>
    </row>
    <row r="5743" spans="1:2" x14ac:dyDescent="0.35">
      <c r="B5743"/>
    </row>
    <row r="5744" spans="1:2" x14ac:dyDescent="0.35">
      <c r="B5744"/>
    </row>
    <row r="5745" spans="1:2" x14ac:dyDescent="0.35">
      <c r="B5745"/>
    </row>
    <row r="5746" spans="1:2" x14ac:dyDescent="0.35">
      <c r="B5746"/>
    </row>
    <row r="5747" spans="1:2" x14ac:dyDescent="0.35">
      <c r="B5747"/>
    </row>
    <row r="5748" spans="1:2" x14ac:dyDescent="0.35">
      <c r="B5748"/>
    </row>
    <row r="5749" spans="1:2" x14ac:dyDescent="0.35">
      <c r="B5749"/>
    </row>
    <row r="5750" spans="1:2" x14ac:dyDescent="0.35">
      <c r="B5750"/>
    </row>
    <row r="5751" spans="1:2" x14ac:dyDescent="0.35">
      <c r="B5751"/>
    </row>
    <row r="5752" spans="1:2" ht="15.5" x14ac:dyDescent="0.35">
      <c r="A5752" s="49"/>
      <c r="B5752"/>
    </row>
    <row r="5753" spans="1:2" x14ac:dyDescent="0.35">
      <c r="B5753"/>
    </row>
    <row r="5754" spans="1:2" x14ac:dyDescent="0.35">
      <c r="B5754"/>
    </row>
    <row r="5755" spans="1:2" x14ac:dyDescent="0.35">
      <c r="B5755"/>
    </row>
    <row r="5756" spans="1:2" x14ac:dyDescent="0.35">
      <c r="B5756"/>
    </row>
    <row r="5757" spans="1:2" x14ac:dyDescent="0.35">
      <c r="B5757"/>
    </row>
    <row r="5758" spans="1:2" x14ac:dyDescent="0.35">
      <c r="B5758"/>
    </row>
    <row r="5759" spans="1:2" x14ac:dyDescent="0.35">
      <c r="B5759"/>
    </row>
    <row r="5760" spans="1:2" x14ac:dyDescent="0.35">
      <c r="B5760"/>
    </row>
    <row r="5761" spans="1:2" x14ac:dyDescent="0.35">
      <c r="B5761"/>
    </row>
    <row r="5762" spans="1:2" x14ac:dyDescent="0.35">
      <c r="B5762"/>
    </row>
    <row r="5763" spans="1:2" x14ac:dyDescent="0.35">
      <c r="B5763"/>
    </row>
    <row r="5764" spans="1:2" ht="15.5" x14ac:dyDescent="0.35">
      <c r="A5764" s="49"/>
      <c r="B5764" s="49"/>
    </row>
    <row r="5765" spans="1:2" x14ac:dyDescent="0.35">
      <c r="B5765"/>
    </row>
    <row r="5766" spans="1:2" x14ac:dyDescent="0.35">
      <c r="B5766"/>
    </row>
    <row r="5767" spans="1:2" x14ac:dyDescent="0.35">
      <c r="B5767"/>
    </row>
    <row r="5768" spans="1:2" x14ac:dyDescent="0.35">
      <c r="B5768"/>
    </row>
    <row r="5769" spans="1:2" x14ac:dyDescent="0.35">
      <c r="B5769"/>
    </row>
    <row r="5770" spans="1:2" x14ac:dyDescent="0.35">
      <c r="B5770"/>
    </row>
    <row r="5771" spans="1:2" x14ac:dyDescent="0.35">
      <c r="B5771"/>
    </row>
    <row r="5772" spans="1:2" x14ac:dyDescent="0.35">
      <c r="B5772"/>
    </row>
    <row r="5773" spans="1:2" x14ac:dyDescent="0.35">
      <c r="B5773"/>
    </row>
    <row r="5774" spans="1:2" ht="15.5" x14ac:dyDescent="0.35">
      <c r="A5774" s="49"/>
      <c r="B5774"/>
    </row>
    <row r="5775" spans="1:2" x14ac:dyDescent="0.35">
      <c r="B5775"/>
    </row>
    <row r="5776" spans="1:2" x14ac:dyDescent="0.35">
      <c r="B5776"/>
    </row>
    <row r="5777" spans="1:2" x14ac:dyDescent="0.35">
      <c r="B5777"/>
    </row>
    <row r="5778" spans="1:2" x14ac:dyDescent="0.35">
      <c r="B5778"/>
    </row>
    <row r="5779" spans="1:2" x14ac:dyDescent="0.35">
      <c r="B5779"/>
    </row>
    <row r="5780" spans="1:2" x14ac:dyDescent="0.35">
      <c r="B5780"/>
    </row>
    <row r="5781" spans="1:2" x14ac:dyDescent="0.35">
      <c r="B5781"/>
    </row>
    <row r="5782" spans="1:2" x14ac:dyDescent="0.35">
      <c r="B5782"/>
    </row>
    <row r="5783" spans="1:2" x14ac:dyDescent="0.35">
      <c r="B5783"/>
    </row>
    <row r="5784" spans="1:2" x14ac:dyDescent="0.35">
      <c r="B5784"/>
    </row>
    <row r="5785" spans="1:2" x14ac:dyDescent="0.35">
      <c r="B5785"/>
    </row>
    <row r="5786" spans="1:2" ht="15.5" x14ac:dyDescent="0.35">
      <c r="A5786" s="49"/>
      <c r="B5786" s="49"/>
    </row>
    <row r="5787" spans="1:2" x14ac:dyDescent="0.35">
      <c r="B5787"/>
    </row>
    <row r="5788" spans="1:2" x14ac:dyDescent="0.35">
      <c r="B5788"/>
    </row>
    <row r="5789" spans="1:2" x14ac:dyDescent="0.35">
      <c r="B5789"/>
    </row>
    <row r="5790" spans="1:2" x14ac:dyDescent="0.35">
      <c r="B5790"/>
    </row>
    <row r="5791" spans="1:2" x14ac:dyDescent="0.35">
      <c r="B5791"/>
    </row>
    <row r="5792" spans="1:2" x14ac:dyDescent="0.35">
      <c r="B5792"/>
    </row>
    <row r="5793" spans="1:2" x14ac:dyDescent="0.35">
      <c r="B5793"/>
    </row>
    <row r="5794" spans="1:2" x14ac:dyDescent="0.35">
      <c r="B5794"/>
    </row>
    <row r="5795" spans="1:2" x14ac:dyDescent="0.35">
      <c r="B5795"/>
    </row>
    <row r="5796" spans="1:2" ht="15.5" x14ac:dyDescent="0.35">
      <c r="A5796" s="49"/>
      <c r="B5796"/>
    </row>
    <row r="5797" spans="1:2" x14ac:dyDescent="0.35">
      <c r="B5797"/>
    </row>
    <row r="5798" spans="1:2" x14ac:dyDescent="0.35">
      <c r="B5798"/>
    </row>
    <row r="5799" spans="1:2" x14ac:dyDescent="0.35">
      <c r="B5799"/>
    </row>
    <row r="5800" spans="1:2" x14ac:dyDescent="0.35">
      <c r="B5800"/>
    </row>
    <row r="5801" spans="1:2" x14ac:dyDescent="0.35">
      <c r="B5801"/>
    </row>
    <row r="5802" spans="1:2" x14ac:dyDescent="0.35">
      <c r="B5802"/>
    </row>
    <row r="5803" spans="1:2" x14ac:dyDescent="0.35">
      <c r="B5803"/>
    </row>
    <row r="5804" spans="1:2" x14ac:dyDescent="0.35">
      <c r="B5804"/>
    </row>
    <row r="5805" spans="1:2" x14ac:dyDescent="0.35">
      <c r="B5805"/>
    </row>
    <row r="5806" spans="1:2" x14ac:dyDescent="0.35">
      <c r="B5806"/>
    </row>
    <row r="5807" spans="1:2" x14ac:dyDescent="0.35">
      <c r="B5807"/>
    </row>
    <row r="5808" spans="1:2" ht="15.5" x14ac:dyDescent="0.35">
      <c r="A5808" s="49"/>
      <c r="B5808" s="49"/>
    </row>
    <row r="5809" spans="1:2" x14ac:dyDescent="0.35">
      <c r="B5809"/>
    </row>
    <row r="5810" spans="1:2" x14ac:dyDescent="0.35">
      <c r="B5810"/>
    </row>
    <row r="5811" spans="1:2" x14ac:dyDescent="0.35">
      <c r="B5811"/>
    </row>
    <row r="5812" spans="1:2" x14ac:dyDescent="0.35">
      <c r="B5812"/>
    </row>
    <row r="5813" spans="1:2" x14ac:dyDescent="0.35">
      <c r="B5813"/>
    </row>
    <row r="5814" spans="1:2" x14ac:dyDescent="0.35">
      <c r="B5814"/>
    </row>
    <row r="5815" spans="1:2" x14ac:dyDescent="0.35">
      <c r="B5815"/>
    </row>
    <row r="5816" spans="1:2" x14ac:dyDescent="0.35">
      <c r="B5816"/>
    </row>
    <row r="5817" spans="1:2" x14ac:dyDescent="0.35">
      <c r="B5817"/>
    </row>
    <row r="5818" spans="1:2" ht="15.5" x14ac:dyDescent="0.35">
      <c r="A5818" s="49"/>
      <c r="B5818"/>
    </row>
    <row r="5819" spans="1:2" x14ac:dyDescent="0.35">
      <c r="B5819"/>
    </row>
    <row r="5820" spans="1:2" x14ac:dyDescent="0.35">
      <c r="B5820"/>
    </row>
    <row r="5821" spans="1:2" x14ac:dyDescent="0.35">
      <c r="B5821"/>
    </row>
    <row r="5822" spans="1:2" x14ac:dyDescent="0.35">
      <c r="B5822"/>
    </row>
    <row r="5823" spans="1:2" x14ac:dyDescent="0.35">
      <c r="B5823"/>
    </row>
    <row r="5824" spans="1:2" x14ac:dyDescent="0.35">
      <c r="B5824"/>
    </row>
    <row r="5825" spans="1:2" x14ac:dyDescent="0.35">
      <c r="B5825"/>
    </row>
    <row r="5826" spans="1:2" x14ac:dyDescent="0.35">
      <c r="B5826"/>
    </row>
    <row r="5827" spans="1:2" x14ac:dyDescent="0.35">
      <c r="B5827"/>
    </row>
    <row r="5828" spans="1:2" x14ac:dyDescent="0.35">
      <c r="B5828"/>
    </row>
    <row r="5829" spans="1:2" x14ac:dyDescent="0.35">
      <c r="B5829"/>
    </row>
    <row r="5830" spans="1:2" ht="15.5" x14ac:dyDescent="0.35">
      <c r="A5830" s="49"/>
      <c r="B5830" s="49"/>
    </row>
    <row r="5831" spans="1:2" x14ac:dyDescent="0.35">
      <c r="B5831"/>
    </row>
    <row r="5832" spans="1:2" x14ac:dyDescent="0.35">
      <c r="B5832"/>
    </row>
    <row r="5833" spans="1:2" x14ac:dyDescent="0.35">
      <c r="B5833"/>
    </row>
    <row r="5834" spans="1:2" x14ac:dyDescent="0.35">
      <c r="B5834"/>
    </row>
    <row r="5835" spans="1:2" x14ac:dyDescent="0.35">
      <c r="B5835"/>
    </row>
    <row r="5836" spans="1:2" x14ac:dyDescent="0.35">
      <c r="B5836"/>
    </row>
    <row r="5837" spans="1:2" x14ac:dyDescent="0.35">
      <c r="B5837"/>
    </row>
    <row r="5838" spans="1:2" x14ac:dyDescent="0.35">
      <c r="B5838"/>
    </row>
    <row r="5839" spans="1:2" x14ac:dyDescent="0.35">
      <c r="B5839"/>
    </row>
    <row r="5840" spans="1:2" ht="15.5" x14ac:dyDescent="0.35">
      <c r="A5840" s="49"/>
      <c r="B5840"/>
    </row>
    <row r="5841" spans="1:2" x14ac:dyDescent="0.35">
      <c r="B5841"/>
    </row>
    <row r="5842" spans="1:2" x14ac:dyDescent="0.35">
      <c r="B5842"/>
    </row>
    <row r="5843" spans="1:2" x14ac:dyDescent="0.35">
      <c r="B5843"/>
    </row>
    <row r="5844" spans="1:2" x14ac:dyDescent="0.35">
      <c r="B5844"/>
    </row>
    <row r="5845" spans="1:2" x14ac:dyDescent="0.35">
      <c r="B5845"/>
    </row>
    <row r="5846" spans="1:2" x14ac:dyDescent="0.35">
      <c r="B5846"/>
    </row>
    <row r="5847" spans="1:2" x14ac:dyDescent="0.35">
      <c r="B5847"/>
    </row>
    <row r="5848" spans="1:2" x14ac:dyDescent="0.35">
      <c r="B5848"/>
    </row>
    <row r="5849" spans="1:2" x14ac:dyDescent="0.35">
      <c r="B5849"/>
    </row>
    <row r="5850" spans="1:2" x14ac:dyDescent="0.35">
      <c r="B5850"/>
    </row>
    <row r="5851" spans="1:2" x14ac:dyDescent="0.35">
      <c r="B5851"/>
    </row>
    <row r="5852" spans="1:2" ht="15.5" x14ac:dyDescent="0.35">
      <c r="A5852" s="49"/>
      <c r="B5852" s="49"/>
    </row>
    <row r="5853" spans="1:2" x14ac:dyDescent="0.35">
      <c r="B5853"/>
    </row>
    <row r="5854" spans="1:2" x14ac:dyDescent="0.35">
      <c r="B5854"/>
    </row>
    <row r="5855" spans="1:2" x14ac:dyDescent="0.35">
      <c r="B5855"/>
    </row>
    <row r="5856" spans="1:2" x14ac:dyDescent="0.35">
      <c r="B5856"/>
    </row>
    <row r="5857" spans="1:2" x14ac:dyDescent="0.35">
      <c r="B5857"/>
    </row>
    <row r="5858" spans="1:2" x14ac:dyDescent="0.35">
      <c r="B5858"/>
    </row>
    <row r="5859" spans="1:2" x14ac:dyDescent="0.35">
      <c r="B5859"/>
    </row>
    <row r="5860" spans="1:2" x14ac:dyDescent="0.35">
      <c r="B5860"/>
    </row>
    <row r="5861" spans="1:2" x14ac:dyDescent="0.35">
      <c r="B5861"/>
    </row>
    <row r="5862" spans="1:2" ht="15.5" x14ac:dyDescent="0.35">
      <c r="A5862" s="49"/>
      <c r="B5862"/>
    </row>
    <row r="5863" spans="1:2" x14ac:dyDescent="0.35">
      <c r="B5863"/>
    </row>
    <row r="5864" spans="1:2" x14ac:dyDescent="0.35">
      <c r="B5864"/>
    </row>
    <row r="5865" spans="1:2" x14ac:dyDescent="0.35">
      <c r="B5865"/>
    </row>
    <row r="5866" spans="1:2" x14ac:dyDescent="0.35">
      <c r="B5866"/>
    </row>
    <row r="5867" spans="1:2" x14ac:dyDescent="0.35">
      <c r="B5867"/>
    </row>
    <row r="5868" spans="1:2" x14ac:dyDescent="0.35">
      <c r="B5868"/>
    </row>
    <row r="5869" spans="1:2" x14ac:dyDescent="0.35">
      <c r="B5869"/>
    </row>
    <row r="5870" spans="1:2" x14ac:dyDescent="0.35">
      <c r="B5870"/>
    </row>
    <row r="5871" spans="1:2" x14ac:dyDescent="0.35">
      <c r="B5871"/>
    </row>
    <row r="5872" spans="1:2" x14ac:dyDescent="0.35">
      <c r="B5872"/>
    </row>
    <row r="5873" spans="1:2" x14ac:dyDescent="0.35">
      <c r="B5873"/>
    </row>
    <row r="5874" spans="1:2" ht="15.5" x14ac:dyDescent="0.35">
      <c r="A5874" s="49"/>
      <c r="B5874" s="49"/>
    </row>
    <row r="5875" spans="1:2" x14ac:dyDescent="0.35">
      <c r="B5875"/>
    </row>
    <row r="5876" spans="1:2" x14ac:dyDescent="0.35">
      <c r="B5876"/>
    </row>
    <row r="5877" spans="1:2" x14ac:dyDescent="0.35">
      <c r="B5877"/>
    </row>
    <row r="5878" spans="1:2" x14ac:dyDescent="0.35">
      <c r="B5878"/>
    </row>
    <row r="5879" spans="1:2" x14ac:dyDescent="0.35">
      <c r="B5879"/>
    </row>
    <row r="5880" spans="1:2" x14ac:dyDescent="0.35">
      <c r="B5880"/>
    </row>
    <row r="5881" spans="1:2" x14ac:dyDescent="0.35">
      <c r="B5881"/>
    </row>
    <row r="5882" spans="1:2" x14ac:dyDescent="0.35">
      <c r="B5882"/>
    </row>
    <row r="5883" spans="1:2" x14ac:dyDescent="0.35">
      <c r="B5883"/>
    </row>
    <row r="5884" spans="1:2" ht="15.5" x14ac:dyDescent="0.35">
      <c r="A5884" s="49"/>
      <c r="B5884"/>
    </row>
    <row r="5885" spans="1:2" x14ac:dyDescent="0.35">
      <c r="B5885"/>
    </row>
    <row r="5886" spans="1:2" x14ac:dyDescent="0.35">
      <c r="B5886"/>
    </row>
    <row r="5887" spans="1:2" x14ac:dyDescent="0.35">
      <c r="B5887"/>
    </row>
    <row r="5888" spans="1:2" x14ac:dyDescent="0.35">
      <c r="B5888"/>
    </row>
    <row r="5889" spans="1:2" x14ac:dyDescent="0.35">
      <c r="B5889"/>
    </row>
    <row r="5890" spans="1:2" x14ac:dyDescent="0.35">
      <c r="B5890"/>
    </row>
    <row r="5891" spans="1:2" x14ac:dyDescent="0.35">
      <c r="B5891"/>
    </row>
    <row r="5892" spans="1:2" x14ac:dyDescent="0.35">
      <c r="B5892"/>
    </row>
    <row r="5893" spans="1:2" x14ac:dyDescent="0.35">
      <c r="B5893"/>
    </row>
    <row r="5894" spans="1:2" x14ac:dyDescent="0.35">
      <c r="B5894"/>
    </row>
    <row r="5895" spans="1:2" x14ac:dyDescent="0.35">
      <c r="B5895"/>
    </row>
    <row r="5896" spans="1:2" ht="15.5" x14ac:dyDescent="0.35">
      <c r="A5896" s="49"/>
      <c r="B5896" s="49"/>
    </row>
    <row r="5897" spans="1:2" x14ac:dyDescent="0.35">
      <c r="B5897"/>
    </row>
    <row r="5898" spans="1:2" x14ac:dyDescent="0.35">
      <c r="B5898"/>
    </row>
    <row r="5899" spans="1:2" x14ac:dyDescent="0.35">
      <c r="B5899"/>
    </row>
    <row r="5900" spans="1:2" x14ac:dyDescent="0.35">
      <c r="B5900"/>
    </row>
    <row r="5901" spans="1:2" x14ac:dyDescent="0.35">
      <c r="B5901"/>
    </row>
    <row r="5902" spans="1:2" x14ac:dyDescent="0.35">
      <c r="B5902"/>
    </row>
    <row r="5903" spans="1:2" x14ac:dyDescent="0.35">
      <c r="B5903"/>
    </row>
    <row r="5904" spans="1:2" x14ac:dyDescent="0.35">
      <c r="B5904"/>
    </row>
    <row r="5905" spans="1:2" x14ac:dyDescent="0.35">
      <c r="B5905"/>
    </row>
    <row r="5906" spans="1:2" ht="15.5" x14ac:dyDescent="0.35">
      <c r="A5906" s="49"/>
      <c r="B5906"/>
    </row>
    <row r="5907" spans="1:2" x14ac:dyDescent="0.35">
      <c r="B5907"/>
    </row>
    <row r="5908" spans="1:2" x14ac:dyDescent="0.35">
      <c r="B5908"/>
    </row>
    <row r="5909" spans="1:2" x14ac:dyDescent="0.35">
      <c r="B5909"/>
    </row>
    <row r="5910" spans="1:2" x14ac:dyDescent="0.35">
      <c r="B5910"/>
    </row>
    <row r="5911" spans="1:2" x14ac:dyDescent="0.35">
      <c r="B5911"/>
    </row>
    <row r="5912" spans="1:2" x14ac:dyDescent="0.35">
      <c r="B5912"/>
    </row>
    <row r="5913" spans="1:2" x14ac:dyDescent="0.35">
      <c r="B5913"/>
    </row>
    <row r="5914" spans="1:2" x14ac:dyDescent="0.35">
      <c r="B5914"/>
    </row>
    <row r="5915" spans="1:2" x14ac:dyDescent="0.35">
      <c r="B5915"/>
    </row>
    <row r="5916" spans="1:2" x14ac:dyDescent="0.35">
      <c r="B5916"/>
    </row>
    <row r="5917" spans="1:2" x14ac:dyDescent="0.35">
      <c r="B5917"/>
    </row>
    <row r="5918" spans="1:2" ht="15.5" x14ac:dyDescent="0.35">
      <c r="A5918" s="49"/>
      <c r="B5918" s="49"/>
    </row>
    <row r="5919" spans="1:2" x14ac:dyDescent="0.35">
      <c r="B5919"/>
    </row>
    <row r="5920" spans="1:2" x14ac:dyDescent="0.35">
      <c r="B5920"/>
    </row>
    <row r="5921" spans="1:2" x14ac:dyDescent="0.35">
      <c r="B5921"/>
    </row>
    <row r="5922" spans="1:2" x14ac:dyDescent="0.35">
      <c r="B5922"/>
    </row>
    <row r="5923" spans="1:2" x14ac:dyDescent="0.35">
      <c r="B5923"/>
    </row>
    <row r="5924" spans="1:2" x14ac:dyDescent="0.35">
      <c r="B5924"/>
    </row>
    <row r="5925" spans="1:2" x14ac:dyDescent="0.35">
      <c r="B5925"/>
    </row>
    <row r="5926" spans="1:2" x14ac:dyDescent="0.35">
      <c r="B5926"/>
    </row>
    <row r="5927" spans="1:2" x14ac:dyDescent="0.35">
      <c r="B5927"/>
    </row>
    <row r="5928" spans="1:2" ht="15.5" x14ac:dyDescent="0.35">
      <c r="A5928" s="49"/>
      <c r="B5928"/>
    </row>
    <row r="5929" spans="1:2" x14ac:dyDescent="0.35">
      <c r="B5929"/>
    </row>
    <row r="5930" spans="1:2" x14ac:dyDescent="0.35">
      <c r="B5930"/>
    </row>
    <row r="5931" spans="1:2" x14ac:dyDescent="0.35">
      <c r="B5931"/>
    </row>
    <row r="5932" spans="1:2" x14ac:dyDescent="0.35">
      <c r="B5932"/>
    </row>
    <row r="5933" spans="1:2" x14ac:dyDescent="0.35">
      <c r="B5933"/>
    </row>
    <row r="5934" spans="1:2" x14ac:dyDescent="0.35">
      <c r="B5934"/>
    </row>
    <row r="5935" spans="1:2" x14ac:dyDescent="0.35">
      <c r="B5935"/>
    </row>
    <row r="5936" spans="1:2" x14ac:dyDescent="0.35">
      <c r="B5936"/>
    </row>
    <row r="5937" spans="2:2" x14ac:dyDescent="0.35">
      <c r="B5937"/>
    </row>
    <row r="5938" spans="2:2" x14ac:dyDescent="0.35">
      <c r="B5938"/>
    </row>
    <row r="5939" spans="2:2" x14ac:dyDescent="0.35">
      <c r="B5939"/>
    </row>
    <row r="5940" spans="2:2" x14ac:dyDescent="0.35">
      <c r="B5940"/>
    </row>
    <row r="5941" spans="2:2" x14ac:dyDescent="0.35">
      <c r="B5941"/>
    </row>
    <row r="5942" spans="2:2" x14ac:dyDescent="0.35">
      <c r="B5942"/>
    </row>
    <row r="5943" spans="2:2" x14ac:dyDescent="0.35">
      <c r="B5943"/>
    </row>
    <row r="5944" spans="2:2" x14ac:dyDescent="0.35">
      <c r="B5944"/>
    </row>
    <row r="5945" spans="2:2" x14ac:dyDescent="0.35">
      <c r="B5945"/>
    </row>
    <row r="5946" spans="2:2" x14ac:dyDescent="0.35">
      <c r="B5946"/>
    </row>
    <row r="5947" spans="2:2" x14ac:dyDescent="0.35">
      <c r="B5947"/>
    </row>
    <row r="5948" spans="2:2" x14ac:dyDescent="0.35">
      <c r="B5948"/>
    </row>
    <row r="5949" spans="2:2" x14ac:dyDescent="0.35">
      <c r="B5949"/>
    </row>
    <row r="5950" spans="2:2" x14ac:dyDescent="0.35">
      <c r="B5950"/>
    </row>
    <row r="5951" spans="2:2" x14ac:dyDescent="0.35">
      <c r="B5951"/>
    </row>
    <row r="5952" spans="2:2" x14ac:dyDescent="0.35">
      <c r="B5952"/>
    </row>
    <row r="5953" spans="1:2" x14ac:dyDescent="0.35">
      <c r="B5953"/>
    </row>
    <row r="5954" spans="1:2" x14ac:dyDescent="0.35">
      <c r="B5954"/>
    </row>
    <row r="5955" spans="1:2" x14ac:dyDescent="0.35">
      <c r="B5955"/>
    </row>
    <row r="5956" spans="1:2" x14ac:dyDescent="0.35">
      <c r="B5956"/>
    </row>
    <row r="5957" spans="1:2" x14ac:dyDescent="0.35">
      <c r="B5957"/>
    </row>
    <row r="5958" spans="1:2" x14ac:dyDescent="0.35">
      <c r="B5958"/>
    </row>
    <row r="5959" spans="1:2" x14ac:dyDescent="0.35">
      <c r="B5959"/>
    </row>
    <row r="5960" spans="1:2" x14ac:dyDescent="0.35">
      <c r="B5960"/>
    </row>
    <row r="5961" spans="1:2" x14ac:dyDescent="0.35">
      <c r="B5961"/>
    </row>
    <row r="5962" spans="1:2" x14ac:dyDescent="0.35">
      <c r="B5962"/>
    </row>
    <row r="5963" spans="1:2" x14ac:dyDescent="0.35">
      <c r="B5963"/>
    </row>
    <row r="5964" spans="1:2" x14ac:dyDescent="0.35">
      <c r="B5964"/>
    </row>
    <row r="5965" spans="1:2" x14ac:dyDescent="0.35">
      <c r="B5965"/>
    </row>
    <row r="5966" spans="1:2" x14ac:dyDescent="0.35">
      <c r="B5966"/>
    </row>
    <row r="5967" spans="1:2" ht="15.5" x14ac:dyDescent="0.35">
      <c r="A5967" s="49"/>
      <c r="B5967" s="49"/>
    </row>
    <row r="5968" spans="1:2" x14ac:dyDescent="0.35">
      <c r="B5968"/>
    </row>
    <row r="5969" spans="1:2" x14ac:dyDescent="0.35">
      <c r="B5969"/>
    </row>
    <row r="5970" spans="1:2" x14ac:dyDescent="0.35">
      <c r="B5970"/>
    </row>
    <row r="5971" spans="1:2" x14ac:dyDescent="0.35">
      <c r="B5971"/>
    </row>
    <row r="5972" spans="1:2" x14ac:dyDescent="0.35">
      <c r="B5972"/>
    </row>
    <row r="5973" spans="1:2" x14ac:dyDescent="0.35">
      <c r="B5973"/>
    </row>
    <row r="5974" spans="1:2" x14ac:dyDescent="0.35">
      <c r="B5974"/>
    </row>
    <row r="5975" spans="1:2" x14ac:dyDescent="0.35">
      <c r="B5975"/>
    </row>
    <row r="5976" spans="1:2" x14ac:dyDescent="0.35">
      <c r="B5976"/>
    </row>
    <row r="5977" spans="1:2" ht="15.5" x14ac:dyDescent="0.35">
      <c r="A5977" s="49"/>
      <c r="B5977"/>
    </row>
    <row r="5978" spans="1:2" x14ac:dyDescent="0.35">
      <c r="B5978"/>
    </row>
    <row r="5979" spans="1:2" x14ac:dyDescent="0.35">
      <c r="B5979"/>
    </row>
    <row r="5980" spans="1:2" x14ac:dyDescent="0.35">
      <c r="B5980"/>
    </row>
    <row r="5981" spans="1:2" x14ac:dyDescent="0.35">
      <c r="B5981"/>
    </row>
    <row r="5982" spans="1:2" x14ac:dyDescent="0.35">
      <c r="B5982"/>
    </row>
    <row r="5983" spans="1:2" x14ac:dyDescent="0.35">
      <c r="B5983"/>
    </row>
    <row r="5984" spans="1:2" x14ac:dyDescent="0.35">
      <c r="B5984"/>
    </row>
    <row r="5985" spans="2:2" x14ac:dyDescent="0.35">
      <c r="B5985"/>
    </row>
    <row r="5986" spans="2:2" x14ac:dyDescent="0.35">
      <c r="B5986"/>
    </row>
    <row r="5987" spans="2:2" x14ac:dyDescent="0.35">
      <c r="B5987"/>
    </row>
    <row r="5988" spans="2:2" x14ac:dyDescent="0.35">
      <c r="B5988"/>
    </row>
    <row r="5989" spans="2:2" x14ac:dyDescent="0.35">
      <c r="B5989"/>
    </row>
    <row r="5990" spans="2:2" x14ac:dyDescent="0.35">
      <c r="B5990"/>
    </row>
    <row r="5991" spans="2:2" x14ac:dyDescent="0.35">
      <c r="B5991"/>
    </row>
    <row r="5992" spans="2:2" x14ac:dyDescent="0.35">
      <c r="B5992"/>
    </row>
    <row r="5993" spans="2:2" x14ac:dyDescent="0.35">
      <c r="B5993"/>
    </row>
    <row r="5994" spans="2:2" x14ac:dyDescent="0.35">
      <c r="B5994"/>
    </row>
    <row r="5995" spans="2:2" x14ac:dyDescent="0.35">
      <c r="B5995"/>
    </row>
    <row r="5996" spans="2:2" x14ac:dyDescent="0.35">
      <c r="B5996"/>
    </row>
    <row r="5997" spans="2:2" x14ac:dyDescent="0.35">
      <c r="B5997"/>
    </row>
    <row r="5998" spans="2:2" x14ac:dyDescent="0.35">
      <c r="B5998"/>
    </row>
    <row r="5999" spans="2:2" x14ac:dyDescent="0.35">
      <c r="B5999"/>
    </row>
    <row r="6000" spans="2:2" x14ac:dyDescent="0.35">
      <c r="B6000"/>
    </row>
    <row r="6001" spans="1:2" x14ac:dyDescent="0.35">
      <c r="B6001"/>
    </row>
    <row r="6002" spans="1:2" x14ac:dyDescent="0.35">
      <c r="B6002"/>
    </row>
    <row r="6003" spans="1:2" x14ac:dyDescent="0.35">
      <c r="B6003"/>
    </row>
    <row r="6004" spans="1:2" x14ac:dyDescent="0.35">
      <c r="B6004"/>
    </row>
    <row r="6005" spans="1:2" x14ac:dyDescent="0.35">
      <c r="B6005"/>
    </row>
    <row r="6006" spans="1:2" x14ac:dyDescent="0.35">
      <c r="B6006"/>
    </row>
    <row r="6007" spans="1:2" x14ac:dyDescent="0.35">
      <c r="B6007"/>
    </row>
    <row r="6008" spans="1:2" x14ac:dyDescent="0.35">
      <c r="B6008"/>
    </row>
    <row r="6009" spans="1:2" x14ac:dyDescent="0.35">
      <c r="B6009"/>
    </row>
    <row r="6010" spans="1:2" x14ac:dyDescent="0.35">
      <c r="B6010"/>
    </row>
    <row r="6011" spans="1:2" x14ac:dyDescent="0.35">
      <c r="B6011"/>
    </row>
    <row r="6012" spans="1:2" x14ac:dyDescent="0.35">
      <c r="B6012"/>
    </row>
    <row r="6013" spans="1:2" x14ac:dyDescent="0.35">
      <c r="B6013"/>
    </row>
    <row r="6014" spans="1:2" x14ac:dyDescent="0.35">
      <c r="B6014"/>
    </row>
    <row r="6015" spans="1:2" x14ac:dyDescent="0.35">
      <c r="B6015"/>
    </row>
    <row r="6016" spans="1:2" ht="15.5" x14ac:dyDescent="0.35">
      <c r="A6016" s="49"/>
      <c r="B6016" s="49"/>
    </row>
    <row r="6017" spans="1:2" x14ac:dyDescent="0.35">
      <c r="B6017"/>
    </row>
    <row r="6018" spans="1:2" x14ac:dyDescent="0.35">
      <c r="B6018"/>
    </row>
    <row r="6019" spans="1:2" x14ac:dyDescent="0.35">
      <c r="B6019"/>
    </row>
    <row r="6020" spans="1:2" x14ac:dyDescent="0.35">
      <c r="B6020"/>
    </row>
    <row r="6021" spans="1:2" x14ac:dyDescent="0.35">
      <c r="B6021"/>
    </row>
    <row r="6022" spans="1:2" x14ac:dyDescent="0.35">
      <c r="B6022"/>
    </row>
    <row r="6023" spans="1:2" x14ac:dyDescent="0.35">
      <c r="B6023"/>
    </row>
    <row r="6024" spans="1:2" x14ac:dyDescent="0.35">
      <c r="B6024"/>
    </row>
    <row r="6025" spans="1:2" x14ac:dyDescent="0.35">
      <c r="B6025"/>
    </row>
    <row r="6026" spans="1:2" ht="15.5" x14ac:dyDescent="0.35">
      <c r="A6026" s="49"/>
      <c r="B6026"/>
    </row>
    <row r="6027" spans="1:2" x14ac:dyDescent="0.35">
      <c r="B6027"/>
    </row>
    <row r="6028" spans="1:2" x14ac:dyDescent="0.35">
      <c r="B6028"/>
    </row>
    <row r="6029" spans="1:2" x14ac:dyDescent="0.35">
      <c r="B6029"/>
    </row>
    <row r="6030" spans="1:2" x14ac:dyDescent="0.35">
      <c r="B6030"/>
    </row>
    <row r="6031" spans="1:2" x14ac:dyDescent="0.35">
      <c r="B6031"/>
    </row>
    <row r="6032" spans="1:2" x14ac:dyDescent="0.35">
      <c r="B6032"/>
    </row>
    <row r="6033" spans="2:2" x14ac:dyDescent="0.35">
      <c r="B6033"/>
    </row>
    <row r="6034" spans="2:2" x14ac:dyDescent="0.35">
      <c r="B6034"/>
    </row>
    <row r="6035" spans="2:2" x14ac:dyDescent="0.35">
      <c r="B6035"/>
    </row>
    <row r="6036" spans="2:2" x14ac:dyDescent="0.35">
      <c r="B6036"/>
    </row>
    <row r="6037" spans="2:2" x14ac:dyDescent="0.35">
      <c r="B6037"/>
    </row>
    <row r="6038" spans="2:2" x14ac:dyDescent="0.35">
      <c r="B6038"/>
    </row>
    <row r="6039" spans="2:2" x14ac:dyDescent="0.35">
      <c r="B6039"/>
    </row>
    <row r="6040" spans="2:2" x14ac:dyDescent="0.35">
      <c r="B6040"/>
    </row>
    <row r="6041" spans="2:2" x14ac:dyDescent="0.35">
      <c r="B6041"/>
    </row>
    <row r="6042" spans="2:2" x14ac:dyDescent="0.35">
      <c r="B6042"/>
    </row>
    <row r="6043" spans="2:2" x14ac:dyDescent="0.35">
      <c r="B6043"/>
    </row>
    <row r="6044" spans="2:2" x14ac:dyDescent="0.35">
      <c r="B6044"/>
    </row>
    <row r="6045" spans="2:2" x14ac:dyDescent="0.35">
      <c r="B6045"/>
    </row>
    <row r="6046" spans="2:2" x14ac:dyDescent="0.35">
      <c r="B6046"/>
    </row>
    <row r="6047" spans="2:2" x14ac:dyDescent="0.35">
      <c r="B6047"/>
    </row>
    <row r="6048" spans="2:2" x14ac:dyDescent="0.35">
      <c r="B6048"/>
    </row>
    <row r="6049" spans="2:2" x14ac:dyDescent="0.35">
      <c r="B6049"/>
    </row>
    <row r="6050" spans="2:2" x14ac:dyDescent="0.35">
      <c r="B6050"/>
    </row>
    <row r="6051" spans="2:2" x14ac:dyDescent="0.35">
      <c r="B6051"/>
    </row>
    <row r="6052" spans="2:2" x14ac:dyDescent="0.35">
      <c r="B6052"/>
    </row>
    <row r="6053" spans="2:2" x14ac:dyDescent="0.35">
      <c r="B6053"/>
    </row>
    <row r="6054" spans="2:2" x14ac:dyDescent="0.35">
      <c r="B6054"/>
    </row>
    <row r="6055" spans="2:2" x14ac:dyDescent="0.35">
      <c r="B6055"/>
    </row>
    <row r="6056" spans="2:2" x14ac:dyDescent="0.35">
      <c r="B6056"/>
    </row>
    <row r="6057" spans="2:2" x14ac:dyDescent="0.35">
      <c r="B6057"/>
    </row>
    <row r="6058" spans="2:2" x14ac:dyDescent="0.35">
      <c r="B6058"/>
    </row>
    <row r="6059" spans="2:2" x14ac:dyDescent="0.35">
      <c r="B6059"/>
    </row>
    <row r="6060" spans="2:2" x14ac:dyDescent="0.35">
      <c r="B6060"/>
    </row>
    <row r="6061" spans="2:2" x14ac:dyDescent="0.35">
      <c r="B6061"/>
    </row>
    <row r="6062" spans="2:2" x14ac:dyDescent="0.35">
      <c r="B6062"/>
    </row>
    <row r="6063" spans="2:2" x14ac:dyDescent="0.35">
      <c r="B6063"/>
    </row>
    <row r="6064" spans="2:2" x14ac:dyDescent="0.35">
      <c r="B6064"/>
    </row>
    <row r="6065" spans="1:2" ht="15.5" x14ac:dyDescent="0.35">
      <c r="A6065" s="49"/>
      <c r="B6065" s="49"/>
    </row>
    <row r="6066" spans="1:2" x14ac:dyDescent="0.35">
      <c r="B6066"/>
    </row>
    <row r="6067" spans="1:2" x14ac:dyDescent="0.35">
      <c r="B6067"/>
    </row>
    <row r="6068" spans="1:2" x14ac:dyDescent="0.35">
      <c r="B6068"/>
    </row>
    <row r="6069" spans="1:2" x14ac:dyDescent="0.35">
      <c r="B6069"/>
    </row>
    <row r="6070" spans="1:2" x14ac:dyDescent="0.35">
      <c r="B6070"/>
    </row>
    <row r="6071" spans="1:2" x14ac:dyDescent="0.35">
      <c r="B6071"/>
    </row>
    <row r="6072" spans="1:2" x14ac:dyDescent="0.35">
      <c r="B6072"/>
    </row>
    <row r="6073" spans="1:2" x14ac:dyDescent="0.35">
      <c r="B6073"/>
    </row>
    <row r="6074" spans="1:2" x14ac:dyDescent="0.35">
      <c r="B6074"/>
    </row>
    <row r="6075" spans="1:2" ht="15.5" x14ac:dyDescent="0.35">
      <c r="A6075" s="49"/>
      <c r="B6075"/>
    </row>
    <row r="6076" spans="1:2" x14ac:dyDescent="0.35">
      <c r="B6076"/>
    </row>
    <row r="6077" spans="1:2" x14ac:dyDescent="0.35">
      <c r="B6077"/>
    </row>
    <row r="6078" spans="1:2" x14ac:dyDescent="0.35">
      <c r="B6078"/>
    </row>
    <row r="6079" spans="1:2" x14ac:dyDescent="0.35">
      <c r="B6079"/>
    </row>
    <row r="6080" spans="1:2" x14ac:dyDescent="0.35">
      <c r="B6080"/>
    </row>
    <row r="6081" spans="2:2" x14ac:dyDescent="0.35">
      <c r="B6081"/>
    </row>
    <row r="6082" spans="2:2" x14ac:dyDescent="0.35">
      <c r="B6082"/>
    </row>
    <row r="6083" spans="2:2" x14ac:dyDescent="0.35">
      <c r="B6083"/>
    </row>
    <row r="6084" spans="2:2" x14ac:dyDescent="0.35">
      <c r="B6084"/>
    </row>
    <row r="6085" spans="2:2" x14ac:dyDescent="0.35">
      <c r="B6085"/>
    </row>
    <row r="6086" spans="2:2" x14ac:dyDescent="0.35">
      <c r="B6086"/>
    </row>
    <row r="6087" spans="2:2" x14ac:dyDescent="0.35">
      <c r="B6087"/>
    </row>
    <row r="6088" spans="2:2" x14ac:dyDescent="0.35">
      <c r="B6088"/>
    </row>
    <row r="6089" spans="2:2" x14ac:dyDescent="0.35">
      <c r="B6089"/>
    </row>
    <row r="6090" spans="2:2" x14ac:dyDescent="0.35">
      <c r="B6090"/>
    </row>
    <row r="6091" spans="2:2" x14ac:dyDescent="0.35">
      <c r="B6091"/>
    </row>
    <row r="6092" spans="2:2" x14ac:dyDescent="0.35">
      <c r="B6092"/>
    </row>
    <row r="6093" spans="2:2" x14ac:dyDescent="0.35">
      <c r="B6093"/>
    </row>
    <row r="6094" spans="2:2" x14ac:dyDescent="0.35">
      <c r="B6094"/>
    </row>
    <row r="6095" spans="2:2" x14ac:dyDescent="0.35">
      <c r="B6095"/>
    </row>
    <row r="6096" spans="2:2" x14ac:dyDescent="0.35">
      <c r="B6096"/>
    </row>
    <row r="6097" spans="2:2" x14ac:dyDescent="0.35">
      <c r="B6097"/>
    </row>
    <row r="6098" spans="2:2" x14ac:dyDescent="0.35">
      <c r="B6098"/>
    </row>
    <row r="6099" spans="2:2" x14ac:dyDescent="0.35">
      <c r="B6099"/>
    </row>
    <row r="6100" spans="2:2" x14ac:dyDescent="0.35">
      <c r="B6100"/>
    </row>
    <row r="6101" spans="2:2" x14ac:dyDescent="0.35">
      <c r="B6101"/>
    </row>
    <row r="6102" spans="2:2" x14ac:dyDescent="0.35">
      <c r="B6102"/>
    </row>
    <row r="6103" spans="2:2" x14ac:dyDescent="0.35">
      <c r="B6103"/>
    </row>
    <row r="6104" spans="2:2" x14ac:dyDescent="0.35">
      <c r="B6104"/>
    </row>
    <row r="6105" spans="2:2" x14ac:dyDescent="0.35">
      <c r="B6105"/>
    </row>
    <row r="6106" spans="2:2" x14ac:dyDescent="0.35">
      <c r="B6106"/>
    </row>
    <row r="6107" spans="2:2" x14ac:dyDescent="0.35">
      <c r="B6107"/>
    </row>
    <row r="6108" spans="2:2" x14ac:dyDescent="0.35">
      <c r="B6108"/>
    </row>
    <row r="6109" spans="2:2" x14ac:dyDescent="0.35">
      <c r="B6109"/>
    </row>
    <row r="6110" spans="2:2" x14ac:dyDescent="0.35">
      <c r="B6110"/>
    </row>
    <row r="6111" spans="2:2" x14ac:dyDescent="0.35">
      <c r="B6111"/>
    </row>
    <row r="6112" spans="2:2" x14ac:dyDescent="0.35">
      <c r="B6112"/>
    </row>
    <row r="6113" spans="1:2" x14ac:dyDescent="0.35">
      <c r="B6113"/>
    </row>
    <row r="6114" spans="1:2" ht="15.5" x14ac:dyDescent="0.35">
      <c r="A6114" s="49"/>
      <c r="B6114" s="49"/>
    </row>
    <row r="6115" spans="1:2" x14ac:dyDescent="0.35">
      <c r="B6115"/>
    </row>
    <row r="6116" spans="1:2" x14ac:dyDescent="0.35">
      <c r="B6116"/>
    </row>
    <row r="6117" spans="1:2" x14ac:dyDescent="0.35">
      <c r="B6117"/>
    </row>
    <row r="6118" spans="1:2" x14ac:dyDescent="0.35">
      <c r="B6118"/>
    </row>
    <row r="6119" spans="1:2" x14ac:dyDescent="0.35">
      <c r="B6119"/>
    </row>
    <row r="6120" spans="1:2" x14ac:dyDescent="0.35">
      <c r="B6120"/>
    </row>
    <row r="6121" spans="1:2" x14ac:dyDescent="0.35">
      <c r="B6121"/>
    </row>
    <row r="6122" spans="1:2" x14ac:dyDescent="0.35">
      <c r="B6122"/>
    </row>
    <row r="6123" spans="1:2" x14ac:dyDescent="0.35">
      <c r="B6123"/>
    </row>
    <row r="6124" spans="1:2" ht="15.5" x14ac:dyDescent="0.35">
      <c r="A6124" s="49"/>
      <c r="B6124"/>
    </row>
    <row r="6125" spans="1:2" x14ac:dyDescent="0.35">
      <c r="B6125"/>
    </row>
    <row r="6126" spans="1:2" x14ac:dyDescent="0.35">
      <c r="B6126"/>
    </row>
    <row r="6127" spans="1:2" x14ac:dyDescent="0.35">
      <c r="B6127"/>
    </row>
    <row r="6128" spans="1:2" x14ac:dyDescent="0.35">
      <c r="B6128"/>
    </row>
    <row r="6129" spans="2:2" x14ac:dyDescent="0.35">
      <c r="B6129"/>
    </row>
    <row r="6130" spans="2:2" x14ac:dyDescent="0.35">
      <c r="B6130"/>
    </row>
    <row r="6131" spans="2:2" x14ac:dyDescent="0.35">
      <c r="B6131"/>
    </row>
    <row r="6132" spans="2:2" x14ac:dyDescent="0.35">
      <c r="B6132"/>
    </row>
    <row r="6133" spans="2:2" x14ac:dyDescent="0.35">
      <c r="B6133"/>
    </row>
    <row r="6134" spans="2:2" x14ac:dyDescent="0.35">
      <c r="B6134"/>
    </row>
    <row r="6135" spans="2:2" x14ac:dyDescent="0.35">
      <c r="B6135"/>
    </row>
    <row r="6136" spans="2:2" x14ac:dyDescent="0.35">
      <c r="B6136"/>
    </row>
    <row r="6137" spans="2:2" x14ac:dyDescent="0.35">
      <c r="B6137"/>
    </row>
    <row r="6138" spans="2:2" x14ac:dyDescent="0.35">
      <c r="B6138"/>
    </row>
    <row r="6139" spans="2:2" x14ac:dyDescent="0.35">
      <c r="B6139"/>
    </row>
    <row r="6140" spans="2:2" x14ac:dyDescent="0.35">
      <c r="B6140"/>
    </row>
    <row r="6141" spans="2:2" x14ac:dyDescent="0.35">
      <c r="B6141"/>
    </row>
    <row r="6142" spans="2:2" x14ac:dyDescent="0.35">
      <c r="B6142"/>
    </row>
    <row r="6143" spans="2:2" x14ac:dyDescent="0.35">
      <c r="B6143"/>
    </row>
    <row r="6144" spans="2:2" x14ac:dyDescent="0.35">
      <c r="B6144"/>
    </row>
    <row r="6145" spans="2:2" x14ac:dyDescent="0.35">
      <c r="B6145"/>
    </row>
    <row r="6146" spans="2:2" x14ac:dyDescent="0.35">
      <c r="B6146"/>
    </row>
    <row r="6147" spans="2:2" x14ac:dyDescent="0.35">
      <c r="B6147"/>
    </row>
    <row r="6148" spans="2:2" x14ac:dyDescent="0.35">
      <c r="B6148"/>
    </row>
    <row r="6149" spans="2:2" x14ac:dyDescent="0.35">
      <c r="B6149"/>
    </row>
    <row r="6150" spans="2:2" x14ac:dyDescent="0.35">
      <c r="B6150"/>
    </row>
    <row r="6151" spans="2:2" x14ac:dyDescent="0.35">
      <c r="B6151"/>
    </row>
    <row r="6152" spans="2:2" x14ac:dyDescent="0.35">
      <c r="B6152"/>
    </row>
    <row r="6153" spans="2:2" x14ac:dyDescent="0.35">
      <c r="B6153"/>
    </row>
    <row r="6154" spans="2:2" x14ac:dyDescent="0.35">
      <c r="B6154"/>
    </row>
    <row r="6155" spans="2:2" x14ac:dyDescent="0.35">
      <c r="B6155"/>
    </row>
    <row r="6156" spans="2:2" x14ac:dyDescent="0.35">
      <c r="B6156"/>
    </row>
    <row r="6157" spans="2:2" x14ac:dyDescent="0.35">
      <c r="B6157"/>
    </row>
    <row r="6158" spans="2:2" x14ac:dyDescent="0.35">
      <c r="B6158"/>
    </row>
    <row r="6159" spans="2:2" x14ac:dyDescent="0.35">
      <c r="B6159"/>
    </row>
    <row r="6160" spans="2:2" x14ac:dyDescent="0.35">
      <c r="B6160"/>
    </row>
    <row r="6161" spans="1:2" x14ac:dyDescent="0.35">
      <c r="B6161"/>
    </row>
    <row r="6162" spans="1:2" x14ac:dyDescent="0.35">
      <c r="B6162"/>
    </row>
    <row r="6163" spans="1:2" ht="15.5" x14ac:dyDescent="0.35">
      <c r="A6163" s="49"/>
      <c r="B6163" s="49"/>
    </row>
    <row r="6164" spans="1:2" x14ac:dyDescent="0.35">
      <c r="B6164"/>
    </row>
    <row r="6165" spans="1:2" x14ac:dyDescent="0.35">
      <c r="B6165"/>
    </row>
    <row r="6166" spans="1:2" x14ac:dyDescent="0.35">
      <c r="B6166"/>
    </row>
    <row r="6167" spans="1:2" x14ac:dyDescent="0.35">
      <c r="B6167"/>
    </row>
    <row r="6168" spans="1:2" x14ac:dyDescent="0.35">
      <c r="B6168"/>
    </row>
    <row r="6169" spans="1:2" x14ac:dyDescent="0.35">
      <c r="B6169"/>
    </row>
    <row r="6170" spans="1:2" x14ac:dyDescent="0.35">
      <c r="B6170"/>
    </row>
    <row r="6171" spans="1:2" x14ac:dyDescent="0.35">
      <c r="B6171"/>
    </row>
    <row r="6172" spans="1:2" x14ac:dyDescent="0.35">
      <c r="B6172"/>
    </row>
    <row r="6173" spans="1:2" ht="15.5" x14ac:dyDescent="0.35">
      <c r="A6173" s="49"/>
      <c r="B6173"/>
    </row>
    <row r="6174" spans="1:2" x14ac:dyDescent="0.35">
      <c r="B6174"/>
    </row>
    <row r="6175" spans="1:2" x14ac:dyDescent="0.35">
      <c r="B6175"/>
    </row>
    <row r="6176" spans="1:2" x14ac:dyDescent="0.35">
      <c r="B6176"/>
    </row>
    <row r="6177" spans="2:2" x14ac:dyDescent="0.35">
      <c r="B6177"/>
    </row>
    <row r="6178" spans="2:2" x14ac:dyDescent="0.35">
      <c r="B6178"/>
    </row>
    <row r="6179" spans="2:2" x14ac:dyDescent="0.35">
      <c r="B6179"/>
    </row>
    <row r="6180" spans="2:2" x14ac:dyDescent="0.35">
      <c r="B6180"/>
    </row>
    <row r="6181" spans="2:2" x14ac:dyDescent="0.35">
      <c r="B6181"/>
    </row>
    <row r="6182" spans="2:2" x14ac:dyDescent="0.35">
      <c r="B6182"/>
    </row>
    <row r="6183" spans="2:2" x14ac:dyDescent="0.35">
      <c r="B6183"/>
    </row>
    <row r="6184" spans="2:2" x14ac:dyDescent="0.35">
      <c r="B6184"/>
    </row>
    <row r="6185" spans="2:2" x14ac:dyDescent="0.35">
      <c r="B6185"/>
    </row>
    <row r="6186" spans="2:2" x14ac:dyDescent="0.35">
      <c r="B6186"/>
    </row>
    <row r="6187" spans="2:2" x14ac:dyDescent="0.35">
      <c r="B6187"/>
    </row>
    <row r="6188" spans="2:2" x14ac:dyDescent="0.35">
      <c r="B6188"/>
    </row>
    <row r="6189" spans="2:2" x14ac:dyDescent="0.35">
      <c r="B6189"/>
    </row>
    <row r="6190" spans="2:2" x14ac:dyDescent="0.35">
      <c r="B6190"/>
    </row>
    <row r="6191" spans="2:2" x14ac:dyDescent="0.35">
      <c r="B6191"/>
    </row>
    <row r="6192" spans="2:2" x14ac:dyDescent="0.35">
      <c r="B6192"/>
    </row>
    <row r="6193" spans="2:2" x14ac:dyDescent="0.35">
      <c r="B6193"/>
    </row>
    <row r="6194" spans="2:2" x14ac:dyDescent="0.35">
      <c r="B6194"/>
    </row>
    <row r="6195" spans="2:2" x14ac:dyDescent="0.35">
      <c r="B6195"/>
    </row>
    <row r="6196" spans="2:2" x14ac:dyDescent="0.35">
      <c r="B6196"/>
    </row>
    <row r="6197" spans="2:2" x14ac:dyDescent="0.35">
      <c r="B6197"/>
    </row>
    <row r="6198" spans="2:2" x14ac:dyDescent="0.35">
      <c r="B6198"/>
    </row>
    <row r="6199" spans="2:2" x14ac:dyDescent="0.35">
      <c r="B6199"/>
    </row>
    <row r="6200" spans="2:2" x14ac:dyDescent="0.35">
      <c r="B6200"/>
    </row>
    <row r="6201" spans="2:2" x14ac:dyDescent="0.35">
      <c r="B6201"/>
    </row>
    <row r="6202" spans="2:2" x14ac:dyDescent="0.35">
      <c r="B6202"/>
    </row>
    <row r="6203" spans="2:2" x14ac:dyDescent="0.35">
      <c r="B6203"/>
    </row>
    <row r="6204" spans="2:2" x14ac:dyDescent="0.35">
      <c r="B6204"/>
    </row>
    <row r="6205" spans="2:2" x14ac:dyDescent="0.35">
      <c r="B6205"/>
    </row>
    <row r="6206" spans="2:2" x14ac:dyDescent="0.35">
      <c r="B6206"/>
    </row>
    <row r="6207" spans="2:2" x14ac:dyDescent="0.35">
      <c r="B6207"/>
    </row>
    <row r="6208" spans="2:2" x14ac:dyDescent="0.35">
      <c r="B6208"/>
    </row>
    <row r="6209" spans="1:2" x14ac:dyDescent="0.35">
      <c r="B6209"/>
    </row>
    <row r="6210" spans="1:2" x14ac:dyDescent="0.35">
      <c r="B6210"/>
    </row>
    <row r="6211" spans="1:2" x14ac:dyDescent="0.35">
      <c r="B6211"/>
    </row>
    <row r="6212" spans="1:2" ht="15.5" x14ac:dyDescent="0.35">
      <c r="A6212" s="49"/>
      <c r="B6212" s="49"/>
    </row>
    <row r="6213" spans="1:2" x14ac:dyDescent="0.35">
      <c r="B6213"/>
    </row>
    <row r="6214" spans="1:2" x14ac:dyDescent="0.35">
      <c r="B6214"/>
    </row>
    <row r="6215" spans="1:2" x14ac:dyDescent="0.35">
      <c r="B6215"/>
    </row>
    <row r="6216" spans="1:2" x14ac:dyDescent="0.35">
      <c r="B6216"/>
    </row>
    <row r="6217" spans="1:2" x14ac:dyDescent="0.35">
      <c r="B6217"/>
    </row>
    <row r="6218" spans="1:2" x14ac:dyDescent="0.35">
      <c r="B6218"/>
    </row>
    <row r="6219" spans="1:2" x14ac:dyDescent="0.35">
      <c r="B6219"/>
    </row>
    <row r="6220" spans="1:2" x14ac:dyDescent="0.35">
      <c r="B6220"/>
    </row>
    <row r="6221" spans="1:2" x14ac:dyDescent="0.35">
      <c r="B6221"/>
    </row>
    <row r="6222" spans="1:2" ht="15.5" x14ac:dyDescent="0.35">
      <c r="A6222" s="49"/>
      <c r="B6222"/>
    </row>
    <row r="6223" spans="1:2" x14ac:dyDescent="0.35">
      <c r="B6223"/>
    </row>
    <row r="6224" spans="1:2" x14ac:dyDescent="0.35">
      <c r="B6224"/>
    </row>
    <row r="6225" spans="2:2" x14ac:dyDescent="0.35">
      <c r="B6225"/>
    </row>
    <row r="6226" spans="2:2" x14ac:dyDescent="0.35">
      <c r="B6226"/>
    </row>
    <row r="6227" spans="2:2" x14ac:dyDescent="0.35">
      <c r="B6227"/>
    </row>
    <row r="6228" spans="2:2" x14ac:dyDescent="0.35">
      <c r="B6228"/>
    </row>
    <row r="6229" spans="2:2" x14ac:dyDescent="0.35">
      <c r="B6229"/>
    </row>
    <row r="6230" spans="2:2" x14ac:dyDescent="0.35">
      <c r="B6230"/>
    </row>
    <row r="6231" spans="2:2" x14ac:dyDescent="0.35">
      <c r="B6231"/>
    </row>
    <row r="6232" spans="2:2" x14ac:dyDescent="0.35">
      <c r="B6232"/>
    </row>
    <row r="6233" spans="2:2" x14ac:dyDescent="0.35">
      <c r="B6233"/>
    </row>
    <row r="6234" spans="2:2" x14ac:dyDescent="0.35">
      <c r="B6234"/>
    </row>
    <row r="6235" spans="2:2" x14ac:dyDescent="0.35">
      <c r="B6235"/>
    </row>
    <row r="6236" spans="2:2" x14ac:dyDescent="0.35">
      <c r="B6236"/>
    </row>
    <row r="6237" spans="2:2" x14ac:dyDescent="0.35">
      <c r="B6237"/>
    </row>
    <row r="6238" spans="2:2" x14ac:dyDescent="0.35">
      <c r="B6238"/>
    </row>
    <row r="6239" spans="2:2" x14ac:dyDescent="0.35">
      <c r="B6239"/>
    </row>
    <row r="6240" spans="2:2" x14ac:dyDescent="0.35">
      <c r="B6240"/>
    </row>
    <row r="6241" spans="2:2" x14ac:dyDescent="0.35">
      <c r="B6241"/>
    </row>
    <row r="6242" spans="2:2" x14ac:dyDescent="0.35">
      <c r="B6242"/>
    </row>
    <row r="6243" spans="2:2" x14ac:dyDescent="0.35">
      <c r="B6243"/>
    </row>
    <row r="6244" spans="2:2" x14ac:dyDescent="0.35">
      <c r="B6244"/>
    </row>
    <row r="6245" spans="2:2" x14ac:dyDescent="0.35">
      <c r="B6245"/>
    </row>
    <row r="6246" spans="2:2" x14ac:dyDescent="0.35">
      <c r="B6246"/>
    </row>
    <row r="6247" spans="2:2" x14ac:dyDescent="0.35">
      <c r="B6247"/>
    </row>
    <row r="6248" spans="2:2" x14ac:dyDescent="0.35">
      <c r="B6248"/>
    </row>
    <row r="6249" spans="2:2" x14ac:dyDescent="0.35">
      <c r="B6249"/>
    </row>
    <row r="6250" spans="2:2" x14ac:dyDescent="0.35">
      <c r="B6250"/>
    </row>
    <row r="6251" spans="2:2" x14ac:dyDescent="0.35">
      <c r="B6251"/>
    </row>
    <row r="6252" spans="2:2" x14ac:dyDescent="0.35">
      <c r="B6252"/>
    </row>
    <row r="6253" spans="2:2" x14ac:dyDescent="0.35">
      <c r="B6253"/>
    </row>
    <row r="6254" spans="2:2" x14ac:dyDescent="0.35">
      <c r="B6254"/>
    </row>
    <row r="6255" spans="2:2" x14ac:dyDescent="0.35">
      <c r="B6255"/>
    </row>
    <row r="6256" spans="2:2" x14ac:dyDescent="0.35">
      <c r="B6256"/>
    </row>
    <row r="6257" spans="1:2" x14ac:dyDescent="0.35">
      <c r="B6257"/>
    </row>
    <row r="6258" spans="1:2" x14ac:dyDescent="0.35">
      <c r="B6258"/>
    </row>
    <row r="6259" spans="1:2" x14ac:dyDescent="0.35">
      <c r="B6259"/>
    </row>
    <row r="6260" spans="1:2" x14ac:dyDescent="0.35">
      <c r="B6260"/>
    </row>
    <row r="6261" spans="1:2" ht="15.5" x14ac:dyDescent="0.35">
      <c r="A6261" s="49"/>
      <c r="B6261" s="49"/>
    </row>
    <row r="6262" spans="1:2" x14ac:dyDescent="0.35">
      <c r="B6262"/>
    </row>
    <row r="6263" spans="1:2" x14ac:dyDescent="0.35">
      <c r="B6263"/>
    </row>
    <row r="6264" spans="1:2" x14ac:dyDescent="0.35">
      <c r="B6264"/>
    </row>
    <row r="6265" spans="1:2" x14ac:dyDescent="0.35">
      <c r="B6265"/>
    </row>
    <row r="6266" spans="1:2" x14ac:dyDescent="0.35">
      <c r="B6266"/>
    </row>
    <row r="6267" spans="1:2" x14ac:dyDescent="0.35">
      <c r="B6267"/>
    </row>
    <row r="6268" spans="1:2" x14ac:dyDescent="0.35">
      <c r="B6268"/>
    </row>
    <row r="6269" spans="1:2" x14ac:dyDescent="0.35">
      <c r="B6269"/>
    </row>
    <row r="6270" spans="1:2" x14ac:dyDescent="0.35">
      <c r="B6270"/>
    </row>
    <row r="6271" spans="1:2" ht="15.5" x14ac:dyDescent="0.35">
      <c r="A6271" s="49"/>
      <c r="B6271"/>
    </row>
    <row r="6272" spans="1:2" x14ac:dyDescent="0.35">
      <c r="B6272"/>
    </row>
    <row r="6273" spans="2:2" x14ac:dyDescent="0.35">
      <c r="B6273"/>
    </row>
    <row r="6274" spans="2:2" x14ac:dyDescent="0.35">
      <c r="B6274"/>
    </row>
    <row r="6275" spans="2:2" x14ac:dyDescent="0.35">
      <c r="B6275"/>
    </row>
    <row r="6276" spans="2:2" x14ac:dyDescent="0.35">
      <c r="B6276"/>
    </row>
    <row r="6277" spans="2:2" x14ac:dyDescent="0.35">
      <c r="B6277"/>
    </row>
    <row r="6278" spans="2:2" x14ac:dyDescent="0.35">
      <c r="B6278"/>
    </row>
    <row r="6279" spans="2:2" x14ac:dyDescent="0.35">
      <c r="B6279"/>
    </row>
    <row r="6280" spans="2:2" x14ac:dyDescent="0.35">
      <c r="B6280"/>
    </row>
    <row r="6281" spans="2:2" x14ac:dyDescent="0.35">
      <c r="B6281"/>
    </row>
    <row r="6282" spans="2:2" x14ac:dyDescent="0.35">
      <c r="B6282"/>
    </row>
    <row r="6283" spans="2:2" x14ac:dyDescent="0.35">
      <c r="B6283"/>
    </row>
    <row r="6284" spans="2:2" x14ac:dyDescent="0.35">
      <c r="B6284"/>
    </row>
    <row r="6285" spans="2:2" x14ac:dyDescent="0.35">
      <c r="B6285"/>
    </row>
    <row r="6286" spans="2:2" x14ac:dyDescent="0.35">
      <c r="B6286"/>
    </row>
    <row r="6287" spans="2:2" x14ac:dyDescent="0.35">
      <c r="B6287"/>
    </row>
    <row r="6288" spans="2:2" x14ac:dyDescent="0.35">
      <c r="B6288"/>
    </row>
    <row r="6289" spans="2:2" x14ac:dyDescent="0.35">
      <c r="B6289"/>
    </row>
    <row r="6290" spans="2:2" x14ac:dyDescent="0.35">
      <c r="B6290"/>
    </row>
    <row r="6291" spans="2:2" x14ac:dyDescent="0.35">
      <c r="B6291"/>
    </row>
    <row r="6292" spans="2:2" x14ac:dyDescent="0.35">
      <c r="B6292"/>
    </row>
    <row r="6293" spans="2:2" x14ac:dyDescent="0.35">
      <c r="B6293"/>
    </row>
    <row r="6294" spans="2:2" x14ac:dyDescent="0.35">
      <c r="B6294"/>
    </row>
    <row r="6295" spans="2:2" x14ac:dyDescent="0.35">
      <c r="B6295"/>
    </row>
    <row r="6296" spans="2:2" x14ac:dyDescent="0.35">
      <c r="B6296"/>
    </row>
    <row r="6297" spans="2:2" x14ac:dyDescent="0.35">
      <c r="B6297"/>
    </row>
    <row r="6298" spans="2:2" x14ac:dyDescent="0.35">
      <c r="B6298"/>
    </row>
    <row r="6299" spans="2:2" x14ac:dyDescent="0.35">
      <c r="B6299"/>
    </row>
    <row r="6300" spans="2:2" x14ac:dyDescent="0.35">
      <c r="B6300"/>
    </row>
    <row r="6301" spans="2:2" x14ac:dyDescent="0.35">
      <c r="B6301"/>
    </row>
    <row r="6302" spans="2:2" x14ac:dyDescent="0.35">
      <c r="B6302"/>
    </row>
    <row r="6303" spans="2:2" x14ac:dyDescent="0.35">
      <c r="B6303"/>
    </row>
    <row r="6304" spans="2:2" x14ac:dyDescent="0.35">
      <c r="B6304"/>
    </row>
    <row r="6305" spans="1:2" x14ac:dyDescent="0.35">
      <c r="B6305"/>
    </row>
    <row r="6306" spans="1:2" x14ac:dyDescent="0.35">
      <c r="B6306"/>
    </row>
    <row r="6307" spans="1:2" x14ac:dyDescent="0.35">
      <c r="B6307"/>
    </row>
    <row r="6308" spans="1:2" x14ac:dyDescent="0.35">
      <c r="B6308"/>
    </row>
    <row r="6309" spans="1:2" x14ac:dyDescent="0.35">
      <c r="B6309"/>
    </row>
    <row r="6310" spans="1:2" ht="15.5" x14ac:dyDescent="0.35">
      <c r="A6310" s="49"/>
      <c r="B6310" s="49"/>
    </row>
    <row r="6311" spans="1:2" x14ac:dyDescent="0.35">
      <c r="B6311"/>
    </row>
    <row r="6312" spans="1:2" x14ac:dyDescent="0.35">
      <c r="B6312"/>
    </row>
    <row r="6313" spans="1:2" x14ac:dyDescent="0.35">
      <c r="B6313"/>
    </row>
    <row r="6314" spans="1:2" x14ac:dyDescent="0.35">
      <c r="B6314"/>
    </row>
    <row r="6315" spans="1:2" x14ac:dyDescent="0.35">
      <c r="B6315"/>
    </row>
    <row r="6316" spans="1:2" x14ac:dyDescent="0.35">
      <c r="B6316"/>
    </row>
    <row r="6317" spans="1:2" x14ac:dyDescent="0.35">
      <c r="B6317"/>
    </row>
    <row r="6318" spans="1:2" x14ac:dyDescent="0.35">
      <c r="B6318"/>
    </row>
    <row r="6319" spans="1:2" x14ac:dyDescent="0.35">
      <c r="B6319"/>
    </row>
    <row r="6320" spans="1:2" ht="15.5" x14ac:dyDescent="0.35">
      <c r="A6320" s="49"/>
      <c r="B6320"/>
    </row>
    <row r="6321" spans="2:2" x14ac:dyDescent="0.35">
      <c r="B6321"/>
    </row>
    <row r="6322" spans="2:2" x14ac:dyDescent="0.35">
      <c r="B6322"/>
    </row>
    <row r="6323" spans="2:2" x14ac:dyDescent="0.35">
      <c r="B6323"/>
    </row>
    <row r="6324" spans="2:2" x14ac:dyDescent="0.35">
      <c r="B6324"/>
    </row>
    <row r="6325" spans="2:2" x14ac:dyDescent="0.35">
      <c r="B6325"/>
    </row>
    <row r="6326" spans="2:2" x14ac:dyDescent="0.35">
      <c r="B6326"/>
    </row>
    <row r="6327" spans="2:2" x14ac:dyDescent="0.35">
      <c r="B6327"/>
    </row>
    <row r="6328" spans="2:2" x14ac:dyDescent="0.35">
      <c r="B6328"/>
    </row>
    <row r="6329" spans="2:2" x14ac:dyDescent="0.35">
      <c r="B6329"/>
    </row>
    <row r="6330" spans="2:2" x14ac:dyDescent="0.35">
      <c r="B6330"/>
    </row>
    <row r="6331" spans="2:2" x14ac:dyDescent="0.35">
      <c r="B6331"/>
    </row>
    <row r="6332" spans="2:2" x14ac:dyDescent="0.35">
      <c r="B6332"/>
    </row>
    <row r="6333" spans="2:2" x14ac:dyDescent="0.35">
      <c r="B6333"/>
    </row>
    <row r="6334" spans="2:2" x14ac:dyDescent="0.35">
      <c r="B6334"/>
    </row>
    <row r="6335" spans="2:2" x14ac:dyDescent="0.35">
      <c r="B6335"/>
    </row>
    <row r="6336" spans="2:2" x14ac:dyDescent="0.35">
      <c r="B6336"/>
    </row>
    <row r="6337" spans="2:2" x14ac:dyDescent="0.35">
      <c r="B6337"/>
    </row>
    <row r="6338" spans="2:2" x14ac:dyDescent="0.35">
      <c r="B6338"/>
    </row>
    <row r="6339" spans="2:2" x14ac:dyDescent="0.35">
      <c r="B6339"/>
    </row>
    <row r="6340" spans="2:2" x14ac:dyDescent="0.35">
      <c r="B6340"/>
    </row>
    <row r="6341" spans="2:2" x14ac:dyDescent="0.35">
      <c r="B6341"/>
    </row>
    <row r="6342" spans="2:2" x14ac:dyDescent="0.35">
      <c r="B6342"/>
    </row>
    <row r="6343" spans="2:2" x14ac:dyDescent="0.35">
      <c r="B6343"/>
    </row>
    <row r="6344" spans="2:2" x14ac:dyDescent="0.35">
      <c r="B6344"/>
    </row>
    <row r="6345" spans="2:2" x14ac:dyDescent="0.35">
      <c r="B6345"/>
    </row>
    <row r="6346" spans="2:2" x14ac:dyDescent="0.35">
      <c r="B6346"/>
    </row>
    <row r="6347" spans="2:2" x14ac:dyDescent="0.35">
      <c r="B6347"/>
    </row>
    <row r="6348" spans="2:2" x14ac:dyDescent="0.35">
      <c r="B6348"/>
    </row>
    <row r="6349" spans="2:2" x14ac:dyDescent="0.35">
      <c r="B6349"/>
    </row>
    <row r="6350" spans="2:2" x14ac:dyDescent="0.35">
      <c r="B6350"/>
    </row>
    <row r="6351" spans="2:2" x14ac:dyDescent="0.35">
      <c r="B6351"/>
    </row>
    <row r="6352" spans="2:2" x14ac:dyDescent="0.35">
      <c r="B6352"/>
    </row>
    <row r="6353" spans="1:2" x14ac:dyDescent="0.35">
      <c r="B6353"/>
    </row>
    <row r="6354" spans="1:2" x14ac:dyDescent="0.35">
      <c r="B6354"/>
    </row>
    <row r="6355" spans="1:2" x14ac:dyDescent="0.35">
      <c r="B6355"/>
    </row>
    <row r="6356" spans="1:2" x14ac:dyDescent="0.35">
      <c r="B6356"/>
    </row>
    <row r="6357" spans="1:2" x14ac:dyDescent="0.35">
      <c r="B6357"/>
    </row>
    <row r="6358" spans="1:2" x14ac:dyDescent="0.35">
      <c r="B6358"/>
    </row>
    <row r="6359" spans="1:2" x14ac:dyDescent="0.35">
      <c r="B6359"/>
    </row>
    <row r="6360" spans="1:2" x14ac:dyDescent="0.35">
      <c r="B6360"/>
    </row>
    <row r="6361" spans="1:2" x14ac:dyDescent="0.35">
      <c r="B6361"/>
    </row>
    <row r="6362" spans="1:2" x14ac:dyDescent="0.35">
      <c r="B6362"/>
    </row>
    <row r="6363" spans="1:2" x14ac:dyDescent="0.35">
      <c r="B6363"/>
    </row>
    <row r="6364" spans="1:2" x14ac:dyDescent="0.35">
      <c r="B6364"/>
    </row>
    <row r="6365" spans="1:2" x14ac:dyDescent="0.35">
      <c r="B6365"/>
    </row>
    <row r="6366" spans="1:2" x14ac:dyDescent="0.35">
      <c r="B6366"/>
    </row>
    <row r="6367" spans="1:2" x14ac:dyDescent="0.35">
      <c r="B6367"/>
    </row>
    <row r="6368" spans="1:2" ht="15.5" x14ac:dyDescent="0.35">
      <c r="A6368" s="49"/>
      <c r="B6368" s="49"/>
    </row>
    <row r="6369" spans="1:2" x14ac:dyDescent="0.35">
      <c r="B6369"/>
    </row>
    <row r="6370" spans="1:2" x14ac:dyDescent="0.35">
      <c r="B6370"/>
    </row>
    <row r="6371" spans="1:2" x14ac:dyDescent="0.35">
      <c r="B6371"/>
    </row>
    <row r="6372" spans="1:2" x14ac:dyDescent="0.35">
      <c r="B6372"/>
    </row>
    <row r="6373" spans="1:2" x14ac:dyDescent="0.35">
      <c r="B6373"/>
    </row>
    <row r="6374" spans="1:2" x14ac:dyDescent="0.35">
      <c r="B6374"/>
    </row>
    <row r="6375" spans="1:2" x14ac:dyDescent="0.35">
      <c r="B6375"/>
    </row>
    <row r="6376" spans="1:2" x14ac:dyDescent="0.35">
      <c r="B6376"/>
    </row>
    <row r="6377" spans="1:2" x14ac:dyDescent="0.35">
      <c r="B6377"/>
    </row>
    <row r="6378" spans="1:2" ht="15.5" x14ac:dyDescent="0.35">
      <c r="A6378" s="49"/>
      <c r="B6378"/>
    </row>
    <row r="6379" spans="1:2" x14ac:dyDescent="0.35">
      <c r="B6379"/>
    </row>
    <row r="6380" spans="1:2" x14ac:dyDescent="0.35">
      <c r="B6380"/>
    </row>
    <row r="6381" spans="1:2" x14ac:dyDescent="0.35">
      <c r="B6381"/>
    </row>
    <row r="6382" spans="1:2" x14ac:dyDescent="0.35">
      <c r="B6382"/>
    </row>
    <row r="6383" spans="1:2" x14ac:dyDescent="0.35">
      <c r="B6383"/>
    </row>
    <row r="6384" spans="1:2" x14ac:dyDescent="0.35">
      <c r="B6384"/>
    </row>
    <row r="6385" spans="1:2" ht="15.5" x14ac:dyDescent="0.35">
      <c r="A6385" s="49"/>
      <c r="B6385" s="49"/>
    </row>
    <row r="6386" spans="1:2" x14ac:dyDescent="0.35">
      <c r="B6386"/>
    </row>
    <row r="6387" spans="1:2" x14ac:dyDescent="0.35">
      <c r="B6387"/>
    </row>
    <row r="6388" spans="1:2" x14ac:dyDescent="0.35">
      <c r="B6388"/>
    </row>
    <row r="6389" spans="1:2" x14ac:dyDescent="0.35">
      <c r="B6389"/>
    </row>
    <row r="6390" spans="1:2" x14ac:dyDescent="0.35">
      <c r="B6390"/>
    </row>
    <row r="6391" spans="1:2" x14ac:dyDescent="0.35">
      <c r="B6391"/>
    </row>
    <row r="6392" spans="1:2" x14ac:dyDescent="0.35">
      <c r="B6392"/>
    </row>
    <row r="6393" spans="1:2" x14ac:dyDescent="0.35">
      <c r="B6393"/>
    </row>
    <row r="6394" spans="1:2" x14ac:dyDescent="0.35">
      <c r="B6394"/>
    </row>
    <row r="6395" spans="1:2" ht="15.5" x14ac:dyDescent="0.35">
      <c r="A6395" s="49"/>
      <c r="B6395"/>
    </row>
    <row r="6396" spans="1:2" x14ac:dyDescent="0.35">
      <c r="B6396"/>
    </row>
    <row r="6397" spans="1:2" x14ac:dyDescent="0.35">
      <c r="B6397"/>
    </row>
    <row r="6398" spans="1:2" x14ac:dyDescent="0.35">
      <c r="B6398"/>
    </row>
    <row r="6399" spans="1:2" x14ac:dyDescent="0.35">
      <c r="B6399"/>
    </row>
    <row r="6400" spans="1:2" x14ac:dyDescent="0.35">
      <c r="B6400"/>
    </row>
    <row r="6401" spans="2:2" x14ac:dyDescent="0.35">
      <c r="B6401"/>
    </row>
    <row r="6402" spans="2:2" x14ac:dyDescent="0.35">
      <c r="B6402"/>
    </row>
    <row r="6403" spans="2:2" x14ac:dyDescent="0.35">
      <c r="B6403"/>
    </row>
    <row r="6404" spans="2:2" x14ac:dyDescent="0.35">
      <c r="B6404"/>
    </row>
    <row r="6405" spans="2:2" x14ac:dyDescent="0.35">
      <c r="B6405"/>
    </row>
    <row r="6406" spans="2:2" x14ac:dyDescent="0.35">
      <c r="B6406"/>
    </row>
    <row r="6407" spans="2:2" x14ac:dyDescent="0.35">
      <c r="B6407"/>
    </row>
    <row r="6408" spans="2:2" x14ac:dyDescent="0.35">
      <c r="B6408"/>
    </row>
    <row r="6409" spans="2:2" x14ac:dyDescent="0.35">
      <c r="B6409"/>
    </row>
    <row r="6410" spans="2:2" x14ac:dyDescent="0.35">
      <c r="B6410"/>
    </row>
    <row r="6411" spans="2:2" x14ac:dyDescent="0.35">
      <c r="B6411"/>
    </row>
    <row r="6412" spans="2:2" x14ac:dyDescent="0.35">
      <c r="B6412"/>
    </row>
    <row r="6413" spans="2:2" x14ac:dyDescent="0.35">
      <c r="B6413"/>
    </row>
    <row r="6414" spans="2:2" x14ac:dyDescent="0.35">
      <c r="B6414"/>
    </row>
    <row r="6415" spans="2:2" x14ac:dyDescent="0.35">
      <c r="B6415"/>
    </row>
    <row r="6416" spans="2:2" x14ac:dyDescent="0.35">
      <c r="B6416"/>
    </row>
    <row r="6417" spans="2:2" x14ac:dyDescent="0.35">
      <c r="B6417"/>
    </row>
    <row r="6418" spans="2:2" x14ac:dyDescent="0.35">
      <c r="B6418"/>
    </row>
    <row r="6419" spans="2:2" x14ac:dyDescent="0.35">
      <c r="B6419"/>
    </row>
    <row r="6420" spans="2:2" x14ac:dyDescent="0.35">
      <c r="B6420"/>
    </row>
    <row r="6421" spans="2:2" x14ac:dyDescent="0.35">
      <c r="B6421"/>
    </row>
    <row r="6422" spans="2:2" x14ac:dyDescent="0.35">
      <c r="B6422"/>
    </row>
    <row r="6423" spans="2:2" x14ac:dyDescent="0.35">
      <c r="B6423"/>
    </row>
    <row r="6424" spans="2:2" x14ac:dyDescent="0.35">
      <c r="B6424"/>
    </row>
    <row r="6425" spans="2:2" x14ac:dyDescent="0.35">
      <c r="B6425"/>
    </row>
    <row r="6426" spans="2:2" x14ac:dyDescent="0.35">
      <c r="B6426"/>
    </row>
    <row r="6427" spans="2:2" x14ac:dyDescent="0.35">
      <c r="B6427"/>
    </row>
    <row r="6428" spans="2:2" x14ac:dyDescent="0.35">
      <c r="B6428"/>
    </row>
    <row r="6429" spans="2:2" x14ac:dyDescent="0.35">
      <c r="B6429"/>
    </row>
    <row r="6430" spans="2:2" x14ac:dyDescent="0.35">
      <c r="B6430"/>
    </row>
    <row r="6431" spans="2:2" x14ac:dyDescent="0.35">
      <c r="B6431"/>
    </row>
    <row r="6432" spans="2:2" x14ac:dyDescent="0.35">
      <c r="B6432"/>
    </row>
    <row r="6433" spans="1:2" x14ac:dyDescent="0.35">
      <c r="B6433"/>
    </row>
    <row r="6434" spans="1:2" x14ac:dyDescent="0.35">
      <c r="B6434"/>
    </row>
    <row r="6435" spans="1:2" x14ac:dyDescent="0.35">
      <c r="B6435"/>
    </row>
    <row r="6436" spans="1:2" ht="15.5" x14ac:dyDescent="0.35">
      <c r="A6436" s="49"/>
      <c r="B6436" s="49"/>
    </row>
    <row r="6437" spans="1:2" x14ac:dyDescent="0.35">
      <c r="B6437"/>
    </row>
    <row r="6438" spans="1:2" x14ac:dyDescent="0.35">
      <c r="B6438"/>
    </row>
    <row r="6439" spans="1:2" x14ac:dyDescent="0.35">
      <c r="B6439"/>
    </row>
    <row r="6440" spans="1:2" x14ac:dyDescent="0.35">
      <c r="B6440"/>
    </row>
    <row r="6441" spans="1:2" x14ac:dyDescent="0.35">
      <c r="B6441"/>
    </row>
    <row r="6442" spans="1:2" x14ac:dyDescent="0.35">
      <c r="B6442"/>
    </row>
    <row r="6443" spans="1:2" x14ac:dyDescent="0.35">
      <c r="B6443"/>
    </row>
    <row r="6444" spans="1:2" x14ac:dyDescent="0.35">
      <c r="B6444"/>
    </row>
    <row r="6445" spans="1:2" x14ac:dyDescent="0.35">
      <c r="B6445"/>
    </row>
    <row r="6446" spans="1:2" ht="15.5" x14ac:dyDescent="0.35">
      <c r="A6446" s="49"/>
      <c r="B6446"/>
    </row>
    <row r="6447" spans="1:2" x14ac:dyDescent="0.35">
      <c r="B6447"/>
    </row>
    <row r="6448" spans="1:2" x14ac:dyDescent="0.35">
      <c r="B6448"/>
    </row>
    <row r="6449" spans="2:2" x14ac:dyDescent="0.35">
      <c r="B6449"/>
    </row>
    <row r="6450" spans="2:2" x14ac:dyDescent="0.35">
      <c r="B6450"/>
    </row>
    <row r="6451" spans="2:2" x14ac:dyDescent="0.35">
      <c r="B6451"/>
    </row>
    <row r="6452" spans="2:2" x14ac:dyDescent="0.35">
      <c r="B6452"/>
    </row>
    <row r="6453" spans="2:2" x14ac:dyDescent="0.35">
      <c r="B6453"/>
    </row>
    <row r="6454" spans="2:2" x14ac:dyDescent="0.35">
      <c r="B6454"/>
    </row>
    <row r="6455" spans="2:2" x14ac:dyDescent="0.35">
      <c r="B6455"/>
    </row>
    <row r="6456" spans="2:2" x14ac:dyDescent="0.35">
      <c r="B6456"/>
    </row>
    <row r="6457" spans="2:2" x14ac:dyDescent="0.35">
      <c r="B6457"/>
    </row>
    <row r="6458" spans="2:2" x14ac:dyDescent="0.35">
      <c r="B6458"/>
    </row>
    <row r="6459" spans="2:2" x14ac:dyDescent="0.35">
      <c r="B6459"/>
    </row>
    <row r="6460" spans="2:2" x14ac:dyDescent="0.35">
      <c r="B6460"/>
    </row>
    <row r="6461" spans="2:2" x14ac:dyDescent="0.35">
      <c r="B6461"/>
    </row>
    <row r="6462" spans="2:2" x14ac:dyDescent="0.35">
      <c r="B6462"/>
    </row>
    <row r="6463" spans="2:2" x14ac:dyDescent="0.35">
      <c r="B6463"/>
    </row>
    <row r="6464" spans="2:2" x14ac:dyDescent="0.35">
      <c r="B6464"/>
    </row>
    <row r="6465" spans="2:2" x14ac:dyDescent="0.35">
      <c r="B6465"/>
    </row>
    <row r="6466" spans="2:2" x14ac:dyDescent="0.35">
      <c r="B6466"/>
    </row>
    <row r="6467" spans="2:2" x14ac:dyDescent="0.35">
      <c r="B6467"/>
    </row>
    <row r="6468" spans="2:2" x14ac:dyDescent="0.35">
      <c r="B6468"/>
    </row>
    <row r="6469" spans="2:2" x14ac:dyDescent="0.35">
      <c r="B6469"/>
    </row>
    <row r="6470" spans="2:2" x14ac:dyDescent="0.35">
      <c r="B6470"/>
    </row>
    <row r="6471" spans="2:2" x14ac:dyDescent="0.35">
      <c r="B6471"/>
    </row>
    <row r="6472" spans="2:2" x14ac:dyDescent="0.35">
      <c r="B6472"/>
    </row>
    <row r="6473" spans="2:2" x14ac:dyDescent="0.35">
      <c r="B6473"/>
    </row>
    <row r="6474" spans="2:2" x14ac:dyDescent="0.35">
      <c r="B6474"/>
    </row>
    <row r="6475" spans="2:2" x14ac:dyDescent="0.35">
      <c r="B6475"/>
    </row>
    <row r="6476" spans="2:2" x14ac:dyDescent="0.35">
      <c r="B6476"/>
    </row>
    <row r="6477" spans="2:2" x14ac:dyDescent="0.35">
      <c r="B6477"/>
    </row>
    <row r="6478" spans="2:2" x14ac:dyDescent="0.35">
      <c r="B6478"/>
    </row>
    <row r="6479" spans="2:2" x14ac:dyDescent="0.35">
      <c r="B6479"/>
    </row>
    <row r="6480" spans="2:2" x14ac:dyDescent="0.35">
      <c r="B6480"/>
    </row>
    <row r="6481" spans="1:2" x14ac:dyDescent="0.35">
      <c r="B6481"/>
    </row>
    <row r="6482" spans="1:2" x14ac:dyDescent="0.35">
      <c r="B6482"/>
    </row>
    <row r="6483" spans="1:2" x14ac:dyDescent="0.35">
      <c r="B6483"/>
    </row>
    <row r="6484" spans="1:2" x14ac:dyDescent="0.35">
      <c r="B6484"/>
    </row>
    <row r="6485" spans="1:2" x14ac:dyDescent="0.35">
      <c r="B6485"/>
    </row>
    <row r="6486" spans="1:2" x14ac:dyDescent="0.35">
      <c r="B6486"/>
    </row>
    <row r="6487" spans="1:2" ht="15.5" x14ac:dyDescent="0.35">
      <c r="A6487" s="49"/>
      <c r="B6487" s="49"/>
    </row>
    <row r="6488" spans="1:2" x14ac:dyDescent="0.35">
      <c r="B6488"/>
    </row>
    <row r="6489" spans="1:2" x14ac:dyDescent="0.35">
      <c r="B6489"/>
    </row>
    <row r="6490" spans="1:2" x14ac:dyDescent="0.35">
      <c r="B6490"/>
    </row>
    <row r="6491" spans="1:2" x14ac:dyDescent="0.35">
      <c r="B6491"/>
    </row>
    <row r="6492" spans="1:2" x14ac:dyDescent="0.35">
      <c r="B6492"/>
    </row>
    <row r="6493" spans="1:2" x14ac:dyDescent="0.35">
      <c r="B6493"/>
    </row>
    <row r="6494" spans="1:2" x14ac:dyDescent="0.35">
      <c r="B6494"/>
    </row>
    <row r="6495" spans="1:2" x14ac:dyDescent="0.35">
      <c r="B6495"/>
    </row>
    <row r="6496" spans="1:2" x14ac:dyDescent="0.35">
      <c r="B6496"/>
    </row>
    <row r="6497" spans="1:2" ht="15.5" x14ac:dyDescent="0.35">
      <c r="A6497" s="49"/>
      <c r="B6497"/>
    </row>
    <row r="6498" spans="1:2" x14ac:dyDescent="0.35">
      <c r="B6498"/>
    </row>
    <row r="6499" spans="1:2" x14ac:dyDescent="0.35">
      <c r="B6499"/>
    </row>
    <row r="6500" spans="1:2" x14ac:dyDescent="0.35">
      <c r="B6500"/>
    </row>
    <row r="6501" spans="1:2" x14ac:dyDescent="0.35">
      <c r="B6501"/>
    </row>
    <row r="6502" spans="1:2" x14ac:dyDescent="0.35">
      <c r="B6502"/>
    </row>
    <row r="6503" spans="1:2" x14ac:dyDescent="0.35">
      <c r="B6503"/>
    </row>
    <row r="6504" spans="1:2" x14ac:dyDescent="0.35">
      <c r="B6504"/>
    </row>
    <row r="6505" spans="1:2" x14ac:dyDescent="0.35">
      <c r="B6505"/>
    </row>
    <row r="6506" spans="1:2" x14ac:dyDescent="0.35">
      <c r="B6506"/>
    </row>
    <row r="6507" spans="1:2" x14ac:dyDescent="0.35">
      <c r="B6507"/>
    </row>
    <row r="6508" spans="1:2" x14ac:dyDescent="0.35">
      <c r="B6508"/>
    </row>
    <row r="6509" spans="1:2" x14ac:dyDescent="0.35">
      <c r="B6509"/>
    </row>
    <row r="6510" spans="1:2" x14ac:dyDescent="0.35">
      <c r="B6510"/>
    </row>
    <row r="6511" spans="1:2" x14ac:dyDescent="0.35">
      <c r="B6511"/>
    </row>
    <row r="6512" spans="1:2" x14ac:dyDescent="0.35">
      <c r="B6512"/>
    </row>
    <row r="6513" spans="2:2" x14ac:dyDescent="0.35">
      <c r="B6513"/>
    </row>
    <row r="6514" spans="2:2" x14ac:dyDescent="0.35">
      <c r="B6514"/>
    </row>
    <row r="6515" spans="2:2" x14ac:dyDescent="0.35">
      <c r="B6515"/>
    </row>
    <row r="6516" spans="2:2" x14ac:dyDescent="0.35">
      <c r="B6516"/>
    </row>
    <row r="6517" spans="2:2" x14ac:dyDescent="0.35">
      <c r="B6517"/>
    </row>
    <row r="6518" spans="2:2" x14ac:dyDescent="0.35">
      <c r="B6518"/>
    </row>
    <row r="6519" spans="2:2" x14ac:dyDescent="0.35">
      <c r="B6519"/>
    </row>
    <row r="6520" spans="2:2" x14ac:dyDescent="0.35">
      <c r="B6520"/>
    </row>
    <row r="6521" spans="2:2" x14ac:dyDescent="0.35">
      <c r="B6521"/>
    </row>
    <row r="6522" spans="2:2" x14ac:dyDescent="0.35">
      <c r="B6522"/>
    </row>
    <row r="6523" spans="2:2" x14ac:dyDescent="0.35">
      <c r="B6523"/>
    </row>
    <row r="6524" spans="2:2" x14ac:dyDescent="0.35">
      <c r="B6524"/>
    </row>
    <row r="6525" spans="2:2" x14ac:dyDescent="0.35">
      <c r="B6525"/>
    </row>
    <row r="6526" spans="2:2" x14ac:dyDescent="0.35">
      <c r="B6526"/>
    </row>
    <row r="6527" spans="2:2" x14ac:dyDescent="0.35">
      <c r="B6527"/>
    </row>
    <row r="6528" spans="2:2" x14ac:dyDescent="0.35">
      <c r="B6528"/>
    </row>
    <row r="6529" spans="1:2" x14ac:dyDescent="0.35">
      <c r="B6529"/>
    </row>
    <row r="6530" spans="1:2" x14ac:dyDescent="0.35">
      <c r="B6530"/>
    </row>
    <row r="6531" spans="1:2" x14ac:dyDescent="0.35">
      <c r="B6531"/>
    </row>
    <row r="6532" spans="1:2" x14ac:dyDescent="0.35">
      <c r="B6532"/>
    </row>
    <row r="6533" spans="1:2" x14ac:dyDescent="0.35">
      <c r="B6533"/>
    </row>
    <row r="6534" spans="1:2" x14ac:dyDescent="0.35">
      <c r="B6534"/>
    </row>
    <row r="6535" spans="1:2" x14ac:dyDescent="0.35">
      <c r="B6535"/>
    </row>
    <row r="6536" spans="1:2" ht="15.5" x14ac:dyDescent="0.35">
      <c r="A6536" s="49"/>
      <c r="B6536" s="49"/>
    </row>
    <row r="6537" spans="1:2" x14ac:dyDescent="0.35">
      <c r="B6537"/>
    </row>
    <row r="6538" spans="1:2" x14ac:dyDescent="0.35">
      <c r="B6538"/>
    </row>
    <row r="6539" spans="1:2" x14ac:dyDescent="0.35">
      <c r="B6539"/>
    </row>
    <row r="6540" spans="1:2" x14ac:dyDescent="0.35">
      <c r="B6540"/>
    </row>
    <row r="6541" spans="1:2" x14ac:dyDescent="0.35">
      <c r="B6541"/>
    </row>
    <row r="6542" spans="1:2" x14ac:dyDescent="0.35">
      <c r="B6542"/>
    </row>
    <row r="6543" spans="1:2" x14ac:dyDescent="0.35">
      <c r="B6543"/>
    </row>
    <row r="6544" spans="1:2" x14ac:dyDescent="0.35">
      <c r="B6544"/>
    </row>
    <row r="6545" spans="1:2" x14ac:dyDescent="0.35">
      <c r="B6545"/>
    </row>
    <row r="6546" spans="1:2" ht="15.5" x14ac:dyDescent="0.35">
      <c r="A6546" s="49"/>
      <c r="B6546"/>
    </row>
    <row r="6547" spans="1:2" x14ac:dyDescent="0.35">
      <c r="B6547"/>
    </row>
    <row r="6548" spans="1:2" x14ac:dyDescent="0.35">
      <c r="B6548"/>
    </row>
    <row r="6549" spans="1:2" x14ac:dyDescent="0.35">
      <c r="B6549"/>
    </row>
    <row r="6550" spans="1:2" x14ac:dyDescent="0.35">
      <c r="B6550"/>
    </row>
    <row r="6551" spans="1:2" x14ac:dyDescent="0.35">
      <c r="B6551"/>
    </row>
    <row r="6552" spans="1:2" x14ac:dyDescent="0.35">
      <c r="B6552"/>
    </row>
    <row r="6553" spans="1:2" x14ac:dyDescent="0.35">
      <c r="B6553"/>
    </row>
    <row r="6554" spans="1:2" x14ac:dyDescent="0.35">
      <c r="B6554"/>
    </row>
    <row r="6555" spans="1:2" x14ac:dyDescent="0.35">
      <c r="B6555"/>
    </row>
    <row r="6556" spans="1:2" x14ac:dyDescent="0.35">
      <c r="B6556"/>
    </row>
    <row r="6557" spans="1:2" x14ac:dyDescent="0.35">
      <c r="B6557"/>
    </row>
    <row r="6558" spans="1:2" x14ac:dyDescent="0.35">
      <c r="B6558"/>
    </row>
    <row r="6559" spans="1:2" x14ac:dyDescent="0.35">
      <c r="B6559"/>
    </row>
    <row r="6560" spans="1:2" x14ac:dyDescent="0.35">
      <c r="B6560"/>
    </row>
    <row r="6561" spans="2:2" x14ac:dyDescent="0.35">
      <c r="B6561"/>
    </row>
    <row r="6562" spans="2:2" x14ac:dyDescent="0.35">
      <c r="B6562"/>
    </row>
    <row r="6563" spans="2:2" x14ac:dyDescent="0.35">
      <c r="B6563"/>
    </row>
    <row r="6564" spans="2:2" x14ac:dyDescent="0.35">
      <c r="B6564"/>
    </row>
    <row r="6565" spans="2:2" x14ac:dyDescent="0.35">
      <c r="B6565"/>
    </row>
    <row r="6566" spans="2:2" x14ac:dyDescent="0.35">
      <c r="B6566"/>
    </row>
    <row r="6567" spans="2:2" x14ac:dyDescent="0.35">
      <c r="B6567"/>
    </row>
    <row r="6568" spans="2:2" x14ac:dyDescent="0.35">
      <c r="B6568"/>
    </row>
    <row r="6569" spans="2:2" x14ac:dyDescent="0.35">
      <c r="B6569"/>
    </row>
    <row r="6570" spans="2:2" x14ac:dyDescent="0.35">
      <c r="B6570"/>
    </row>
    <row r="6571" spans="2:2" x14ac:dyDescent="0.35">
      <c r="B6571"/>
    </row>
    <row r="6572" spans="2:2" x14ac:dyDescent="0.35">
      <c r="B6572"/>
    </row>
    <row r="6573" spans="2:2" x14ac:dyDescent="0.35">
      <c r="B6573"/>
    </row>
    <row r="6574" spans="2:2" x14ac:dyDescent="0.35">
      <c r="B6574"/>
    </row>
    <row r="6575" spans="2:2" x14ac:dyDescent="0.35">
      <c r="B6575"/>
    </row>
    <row r="6576" spans="2:2" x14ac:dyDescent="0.35">
      <c r="B6576"/>
    </row>
    <row r="6577" spans="1:2" x14ac:dyDescent="0.35">
      <c r="B6577"/>
    </row>
    <row r="6578" spans="1:2" x14ac:dyDescent="0.35">
      <c r="B6578"/>
    </row>
    <row r="6579" spans="1:2" x14ac:dyDescent="0.35">
      <c r="B6579"/>
    </row>
    <row r="6580" spans="1:2" x14ac:dyDescent="0.35">
      <c r="B6580"/>
    </row>
    <row r="6581" spans="1:2" x14ac:dyDescent="0.35">
      <c r="B6581"/>
    </row>
    <row r="6582" spans="1:2" x14ac:dyDescent="0.35">
      <c r="B6582"/>
    </row>
    <row r="6583" spans="1:2" x14ac:dyDescent="0.35">
      <c r="B6583"/>
    </row>
    <row r="6584" spans="1:2" x14ac:dyDescent="0.35">
      <c r="B6584"/>
    </row>
    <row r="6585" spans="1:2" ht="15.5" x14ac:dyDescent="0.35">
      <c r="A6585" s="49"/>
      <c r="B6585" s="49"/>
    </row>
    <row r="6586" spans="1:2" x14ac:dyDescent="0.35">
      <c r="B6586"/>
    </row>
    <row r="6587" spans="1:2" x14ac:dyDescent="0.35">
      <c r="B6587"/>
    </row>
    <row r="6588" spans="1:2" x14ac:dyDescent="0.35">
      <c r="B6588"/>
    </row>
    <row r="6589" spans="1:2" x14ac:dyDescent="0.35">
      <c r="B6589"/>
    </row>
    <row r="6590" spans="1:2" x14ac:dyDescent="0.35">
      <c r="B6590"/>
    </row>
    <row r="6591" spans="1:2" x14ac:dyDescent="0.35">
      <c r="B6591"/>
    </row>
    <row r="6592" spans="1:2" x14ac:dyDescent="0.35">
      <c r="B6592"/>
    </row>
    <row r="6593" spans="1:2" x14ac:dyDescent="0.35">
      <c r="B6593"/>
    </row>
    <row r="6594" spans="1:2" x14ac:dyDescent="0.35">
      <c r="B6594"/>
    </row>
    <row r="6595" spans="1:2" ht="15.5" x14ac:dyDescent="0.35">
      <c r="A6595" s="49"/>
      <c r="B6595"/>
    </row>
    <row r="6596" spans="1:2" x14ac:dyDescent="0.35">
      <c r="B6596"/>
    </row>
    <row r="6597" spans="1:2" x14ac:dyDescent="0.35">
      <c r="B6597"/>
    </row>
    <row r="6598" spans="1:2" x14ac:dyDescent="0.35">
      <c r="B6598"/>
    </row>
    <row r="6599" spans="1:2" x14ac:dyDescent="0.35">
      <c r="B6599"/>
    </row>
    <row r="6600" spans="1:2" x14ac:dyDescent="0.35">
      <c r="B6600"/>
    </row>
    <row r="6601" spans="1:2" x14ac:dyDescent="0.35">
      <c r="B6601"/>
    </row>
    <row r="6602" spans="1:2" x14ac:dyDescent="0.35">
      <c r="B6602"/>
    </row>
    <row r="6603" spans="1:2" x14ac:dyDescent="0.35">
      <c r="B6603"/>
    </row>
    <row r="6604" spans="1:2" x14ac:dyDescent="0.35">
      <c r="B6604"/>
    </row>
    <row r="6605" spans="1:2" x14ac:dyDescent="0.35">
      <c r="B6605"/>
    </row>
    <row r="6606" spans="1:2" x14ac:dyDescent="0.35">
      <c r="B6606"/>
    </row>
    <row r="6607" spans="1:2" x14ac:dyDescent="0.35">
      <c r="B6607"/>
    </row>
    <row r="6608" spans="1:2" x14ac:dyDescent="0.35">
      <c r="B6608"/>
    </row>
    <row r="6609" spans="2:2" x14ac:dyDescent="0.35">
      <c r="B6609"/>
    </row>
    <row r="6610" spans="2:2" x14ac:dyDescent="0.35">
      <c r="B6610"/>
    </row>
    <row r="6611" spans="2:2" x14ac:dyDescent="0.35">
      <c r="B6611"/>
    </row>
    <row r="6612" spans="2:2" x14ac:dyDescent="0.35">
      <c r="B6612"/>
    </row>
    <row r="6613" spans="2:2" x14ac:dyDescent="0.35">
      <c r="B6613"/>
    </row>
    <row r="6614" spans="2:2" x14ac:dyDescent="0.35">
      <c r="B6614"/>
    </row>
    <row r="6615" spans="2:2" x14ac:dyDescent="0.35">
      <c r="B6615"/>
    </row>
    <row r="6616" spans="2:2" x14ac:dyDescent="0.35">
      <c r="B6616"/>
    </row>
    <row r="6617" spans="2:2" x14ac:dyDescent="0.35">
      <c r="B6617"/>
    </row>
    <row r="6618" spans="2:2" x14ac:dyDescent="0.35">
      <c r="B6618"/>
    </row>
    <row r="6619" spans="2:2" x14ac:dyDescent="0.35">
      <c r="B6619"/>
    </row>
    <row r="6620" spans="2:2" x14ac:dyDescent="0.35">
      <c r="B6620"/>
    </row>
    <row r="6621" spans="2:2" x14ac:dyDescent="0.35">
      <c r="B6621"/>
    </row>
    <row r="6622" spans="2:2" x14ac:dyDescent="0.35">
      <c r="B6622"/>
    </row>
    <row r="6623" spans="2:2" x14ac:dyDescent="0.35">
      <c r="B6623"/>
    </row>
    <row r="6624" spans="2:2" x14ac:dyDescent="0.35">
      <c r="B6624"/>
    </row>
    <row r="6625" spans="2:2" x14ac:dyDescent="0.35">
      <c r="B6625"/>
    </row>
    <row r="6626" spans="2:2" x14ac:dyDescent="0.35">
      <c r="B6626"/>
    </row>
    <row r="6627" spans="2:2" x14ac:dyDescent="0.35">
      <c r="B6627"/>
    </row>
    <row r="6628" spans="2:2" x14ac:dyDescent="0.35">
      <c r="B6628"/>
    </row>
    <row r="6629" spans="2:2" x14ac:dyDescent="0.35">
      <c r="B6629"/>
    </row>
    <row r="6630" spans="2:2" x14ac:dyDescent="0.35">
      <c r="B6630"/>
    </row>
    <row r="6631" spans="2:2" x14ac:dyDescent="0.35">
      <c r="B6631"/>
    </row>
    <row r="6632" spans="2:2" x14ac:dyDescent="0.35">
      <c r="B6632"/>
    </row>
    <row r="6633" spans="2:2" x14ac:dyDescent="0.35">
      <c r="B6633"/>
    </row>
    <row r="6634" spans="2:2" x14ac:dyDescent="0.35">
      <c r="B6634"/>
    </row>
    <row r="6635" spans="2:2" x14ac:dyDescent="0.35">
      <c r="B6635"/>
    </row>
    <row r="6636" spans="2:2" x14ac:dyDescent="0.35">
      <c r="B6636"/>
    </row>
    <row r="6637" spans="2:2" x14ac:dyDescent="0.35">
      <c r="B6637"/>
    </row>
    <row r="6638" spans="2:2" x14ac:dyDescent="0.35">
      <c r="B6638"/>
    </row>
    <row r="6639" spans="2:2" x14ac:dyDescent="0.35">
      <c r="B6639"/>
    </row>
    <row r="6640" spans="2:2" x14ac:dyDescent="0.35">
      <c r="B6640"/>
    </row>
    <row r="6641" spans="1:2" x14ac:dyDescent="0.35">
      <c r="B6641"/>
    </row>
    <row r="6642" spans="1:2" x14ac:dyDescent="0.35">
      <c r="B6642"/>
    </row>
    <row r="6643" spans="1:2" x14ac:dyDescent="0.35">
      <c r="B6643"/>
    </row>
    <row r="6644" spans="1:2" x14ac:dyDescent="0.35">
      <c r="B6644"/>
    </row>
    <row r="6645" spans="1:2" x14ac:dyDescent="0.35">
      <c r="B6645"/>
    </row>
    <row r="6646" spans="1:2" x14ac:dyDescent="0.35">
      <c r="B6646"/>
    </row>
    <row r="6647" spans="1:2" x14ac:dyDescent="0.35">
      <c r="B6647"/>
    </row>
    <row r="6648" spans="1:2" x14ac:dyDescent="0.35">
      <c r="B6648"/>
    </row>
    <row r="6649" spans="1:2" x14ac:dyDescent="0.35">
      <c r="B6649"/>
    </row>
    <row r="6650" spans="1:2" x14ac:dyDescent="0.35">
      <c r="B6650"/>
    </row>
    <row r="6651" spans="1:2" x14ac:dyDescent="0.35">
      <c r="B6651"/>
    </row>
    <row r="6652" spans="1:2" x14ac:dyDescent="0.35">
      <c r="B6652"/>
    </row>
    <row r="6653" spans="1:2" x14ac:dyDescent="0.35">
      <c r="B6653"/>
    </row>
    <row r="6654" spans="1:2" ht="15.5" x14ac:dyDescent="0.35">
      <c r="A6654" s="49"/>
      <c r="B6654" s="49"/>
    </row>
    <row r="6655" spans="1:2" x14ac:dyDescent="0.35">
      <c r="B6655"/>
    </row>
    <row r="6656" spans="1:2" x14ac:dyDescent="0.35">
      <c r="B6656"/>
    </row>
    <row r="6657" spans="1:2" x14ac:dyDescent="0.35">
      <c r="B6657"/>
    </row>
    <row r="6658" spans="1:2" x14ac:dyDescent="0.35">
      <c r="B6658"/>
    </row>
    <row r="6659" spans="1:2" x14ac:dyDescent="0.35">
      <c r="B6659"/>
    </row>
    <row r="6660" spans="1:2" x14ac:dyDescent="0.35">
      <c r="B6660"/>
    </row>
    <row r="6661" spans="1:2" x14ac:dyDescent="0.35">
      <c r="B6661"/>
    </row>
    <row r="6662" spans="1:2" x14ac:dyDescent="0.35">
      <c r="B6662"/>
    </row>
    <row r="6663" spans="1:2" x14ac:dyDescent="0.35">
      <c r="B6663"/>
    </row>
    <row r="6664" spans="1:2" ht="15.5" x14ac:dyDescent="0.35">
      <c r="A6664" s="49"/>
      <c r="B6664"/>
    </row>
    <row r="6665" spans="1:2" x14ac:dyDescent="0.35">
      <c r="B6665"/>
    </row>
    <row r="6666" spans="1:2" x14ac:dyDescent="0.35">
      <c r="B6666"/>
    </row>
    <row r="6667" spans="1:2" x14ac:dyDescent="0.35">
      <c r="B6667"/>
    </row>
    <row r="6668" spans="1:2" x14ac:dyDescent="0.35">
      <c r="B6668"/>
    </row>
    <row r="6669" spans="1:2" x14ac:dyDescent="0.35">
      <c r="B6669"/>
    </row>
    <row r="6670" spans="1:2" x14ac:dyDescent="0.35">
      <c r="B6670"/>
    </row>
    <row r="6671" spans="1:2" ht="15.5" x14ac:dyDescent="0.35">
      <c r="A6671" s="49"/>
      <c r="B6671" s="49"/>
    </row>
    <row r="6672" spans="1:2" x14ac:dyDescent="0.35">
      <c r="B6672"/>
    </row>
    <row r="6673" spans="1:2" x14ac:dyDescent="0.35">
      <c r="B6673"/>
    </row>
    <row r="6674" spans="1:2" x14ac:dyDescent="0.35">
      <c r="B6674"/>
    </row>
    <row r="6675" spans="1:2" x14ac:dyDescent="0.35">
      <c r="B6675"/>
    </row>
    <row r="6676" spans="1:2" x14ac:dyDescent="0.35">
      <c r="B6676"/>
    </row>
    <row r="6677" spans="1:2" x14ac:dyDescent="0.35">
      <c r="B6677"/>
    </row>
    <row r="6678" spans="1:2" x14ac:dyDescent="0.35">
      <c r="B6678"/>
    </row>
    <row r="6679" spans="1:2" x14ac:dyDescent="0.35">
      <c r="B6679"/>
    </row>
    <row r="6680" spans="1:2" x14ac:dyDescent="0.35">
      <c r="B6680"/>
    </row>
    <row r="6681" spans="1:2" ht="15.5" x14ac:dyDescent="0.35">
      <c r="A6681" s="49"/>
      <c r="B6681"/>
    </row>
    <row r="6682" spans="1:2" x14ac:dyDescent="0.35">
      <c r="B6682"/>
    </row>
    <row r="6683" spans="1:2" x14ac:dyDescent="0.35">
      <c r="B6683"/>
    </row>
    <row r="6684" spans="1:2" x14ac:dyDescent="0.35">
      <c r="B6684"/>
    </row>
    <row r="6685" spans="1:2" x14ac:dyDescent="0.35">
      <c r="B6685"/>
    </row>
    <row r="6686" spans="1:2" x14ac:dyDescent="0.35">
      <c r="B6686"/>
    </row>
    <row r="6687" spans="1:2" x14ac:dyDescent="0.35">
      <c r="B6687"/>
    </row>
    <row r="6688" spans="1:2" x14ac:dyDescent="0.35">
      <c r="B6688"/>
    </row>
    <row r="6689" spans="1:2" x14ac:dyDescent="0.35">
      <c r="B6689"/>
    </row>
    <row r="6690" spans="1:2" ht="15.5" x14ac:dyDescent="0.35">
      <c r="A6690" s="49"/>
      <c r="B6690" s="49"/>
    </row>
    <row r="6691" spans="1:2" x14ac:dyDescent="0.35">
      <c r="B6691"/>
    </row>
    <row r="6692" spans="1:2" x14ac:dyDescent="0.35">
      <c r="B6692"/>
    </row>
    <row r="6693" spans="1:2" x14ac:dyDescent="0.35">
      <c r="B6693"/>
    </row>
    <row r="6694" spans="1:2" x14ac:dyDescent="0.35">
      <c r="B6694"/>
    </row>
    <row r="6695" spans="1:2" x14ac:dyDescent="0.35">
      <c r="B6695"/>
    </row>
    <row r="6696" spans="1:2" x14ac:dyDescent="0.35">
      <c r="B6696"/>
    </row>
    <row r="6697" spans="1:2" x14ac:dyDescent="0.35">
      <c r="B6697"/>
    </row>
    <row r="6698" spans="1:2" x14ac:dyDescent="0.35">
      <c r="B6698"/>
    </row>
    <row r="6699" spans="1:2" x14ac:dyDescent="0.35">
      <c r="B6699"/>
    </row>
    <row r="6700" spans="1:2" ht="15.5" x14ac:dyDescent="0.35">
      <c r="A6700" s="49"/>
      <c r="B6700"/>
    </row>
    <row r="6701" spans="1:2" x14ac:dyDescent="0.35">
      <c r="B6701"/>
    </row>
    <row r="6702" spans="1:2" x14ac:dyDescent="0.35">
      <c r="B6702"/>
    </row>
    <row r="6703" spans="1:2" x14ac:dyDescent="0.35">
      <c r="B6703"/>
    </row>
    <row r="6704" spans="1:2" x14ac:dyDescent="0.35">
      <c r="B6704"/>
    </row>
    <row r="6705" spans="1:2" x14ac:dyDescent="0.35">
      <c r="B6705"/>
    </row>
    <row r="6706" spans="1:2" x14ac:dyDescent="0.35">
      <c r="B6706"/>
    </row>
    <row r="6707" spans="1:2" x14ac:dyDescent="0.35">
      <c r="B6707"/>
    </row>
    <row r="6708" spans="1:2" ht="15.5" x14ac:dyDescent="0.35">
      <c r="A6708" s="49"/>
      <c r="B6708" s="49"/>
    </row>
    <row r="6709" spans="1:2" x14ac:dyDescent="0.35">
      <c r="B6709"/>
    </row>
    <row r="6710" spans="1:2" x14ac:dyDescent="0.35">
      <c r="B6710"/>
    </row>
    <row r="6711" spans="1:2" x14ac:dyDescent="0.35">
      <c r="B6711"/>
    </row>
    <row r="6712" spans="1:2" x14ac:dyDescent="0.35">
      <c r="B6712"/>
    </row>
    <row r="6713" spans="1:2" x14ac:dyDescent="0.35">
      <c r="B6713"/>
    </row>
    <row r="6714" spans="1:2" x14ac:dyDescent="0.35">
      <c r="B6714"/>
    </row>
    <row r="6715" spans="1:2" x14ac:dyDescent="0.35">
      <c r="B6715"/>
    </row>
    <row r="6716" spans="1:2" x14ac:dyDescent="0.35">
      <c r="B6716"/>
    </row>
    <row r="6717" spans="1:2" x14ac:dyDescent="0.35">
      <c r="B6717"/>
    </row>
    <row r="6718" spans="1:2" ht="15.5" x14ac:dyDescent="0.35">
      <c r="A6718" s="49"/>
      <c r="B6718"/>
    </row>
    <row r="6719" spans="1:2" x14ac:dyDescent="0.35">
      <c r="B6719"/>
    </row>
    <row r="6720" spans="1:2" x14ac:dyDescent="0.35">
      <c r="B6720"/>
    </row>
    <row r="6721" spans="1:2" x14ac:dyDescent="0.35">
      <c r="B6721"/>
    </row>
    <row r="6722" spans="1:2" x14ac:dyDescent="0.35">
      <c r="B6722"/>
    </row>
    <row r="6723" spans="1:2" x14ac:dyDescent="0.35">
      <c r="B6723"/>
    </row>
    <row r="6724" spans="1:2" x14ac:dyDescent="0.35">
      <c r="B6724"/>
    </row>
    <row r="6725" spans="1:2" x14ac:dyDescent="0.35">
      <c r="B6725"/>
    </row>
    <row r="6726" spans="1:2" x14ac:dyDescent="0.35">
      <c r="B6726"/>
    </row>
    <row r="6727" spans="1:2" ht="15.5" x14ac:dyDescent="0.35">
      <c r="A6727" s="49"/>
      <c r="B6727" s="49"/>
    </row>
    <row r="6728" spans="1:2" x14ac:dyDescent="0.35">
      <c r="B6728"/>
    </row>
    <row r="6729" spans="1:2" x14ac:dyDescent="0.35">
      <c r="B6729"/>
    </row>
    <row r="6730" spans="1:2" x14ac:dyDescent="0.35">
      <c r="B6730"/>
    </row>
    <row r="6731" spans="1:2" x14ac:dyDescent="0.35">
      <c r="B6731"/>
    </row>
    <row r="6732" spans="1:2" x14ac:dyDescent="0.35">
      <c r="B6732"/>
    </row>
    <row r="6733" spans="1:2" x14ac:dyDescent="0.35">
      <c r="B6733"/>
    </row>
    <row r="6734" spans="1:2" x14ac:dyDescent="0.35">
      <c r="B6734"/>
    </row>
    <row r="6735" spans="1:2" x14ac:dyDescent="0.35">
      <c r="B6735"/>
    </row>
    <row r="6736" spans="1:2" x14ac:dyDescent="0.35">
      <c r="B6736"/>
    </row>
    <row r="6737" spans="1:2" ht="15.5" x14ac:dyDescent="0.35">
      <c r="A6737" s="49"/>
      <c r="B6737"/>
    </row>
    <row r="6738" spans="1:2" x14ac:dyDescent="0.35">
      <c r="B6738"/>
    </row>
    <row r="6739" spans="1:2" x14ac:dyDescent="0.35">
      <c r="B6739"/>
    </row>
    <row r="6740" spans="1:2" x14ac:dyDescent="0.35">
      <c r="B6740"/>
    </row>
    <row r="6741" spans="1:2" x14ac:dyDescent="0.35">
      <c r="B6741"/>
    </row>
    <row r="6742" spans="1:2" x14ac:dyDescent="0.35">
      <c r="B6742"/>
    </row>
    <row r="6743" spans="1:2" x14ac:dyDescent="0.35">
      <c r="B6743"/>
    </row>
    <row r="6744" spans="1:2" x14ac:dyDescent="0.35">
      <c r="B6744"/>
    </row>
    <row r="6745" spans="1:2" x14ac:dyDescent="0.35">
      <c r="B6745"/>
    </row>
    <row r="6746" spans="1:2" ht="15.5" x14ac:dyDescent="0.35">
      <c r="A6746" s="49"/>
      <c r="B6746" s="49"/>
    </row>
    <row r="6747" spans="1:2" x14ac:dyDescent="0.35">
      <c r="B6747"/>
    </row>
    <row r="6748" spans="1:2" x14ac:dyDescent="0.35">
      <c r="B6748"/>
    </row>
    <row r="6749" spans="1:2" x14ac:dyDescent="0.35">
      <c r="B6749"/>
    </row>
    <row r="6750" spans="1:2" x14ac:dyDescent="0.35">
      <c r="B6750"/>
    </row>
    <row r="6751" spans="1:2" x14ac:dyDescent="0.35">
      <c r="B6751"/>
    </row>
    <row r="6752" spans="1:2" x14ac:dyDescent="0.35">
      <c r="B6752"/>
    </row>
    <row r="6753" spans="1:2" x14ac:dyDescent="0.35">
      <c r="B6753"/>
    </row>
    <row r="6754" spans="1:2" x14ac:dyDescent="0.35">
      <c r="B6754"/>
    </row>
    <row r="6755" spans="1:2" x14ac:dyDescent="0.35">
      <c r="B6755"/>
    </row>
    <row r="6756" spans="1:2" ht="15.5" x14ac:dyDescent="0.35">
      <c r="A6756" s="49"/>
      <c r="B6756"/>
    </row>
    <row r="6757" spans="1:2" x14ac:dyDescent="0.35">
      <c r="B6757"/>
    </row>
    <row r="6758" spans="1:2" x14ac:dyDescent="0.35">
      <c r="B6758"/>
    </row>
    <row r="6759" spans="1:2" x14ac:dyDescent="0.35">
      <c r="B6759"/>
    </row>
    <row r="6760" spans="1:2" x14ac:dyDescent="0.35">
      <c r="B6760"/>
    </row>
    <row r="6761" spans="1:2" x14ac:dyDescent="0.35">
      <c r="B6761"/>
    </row>
    <row r="6762" spans="1:2" x14ac:dyDescent="0.35">
      <c r="B6762"/>
    </row>
    <row r="6763" spans="1:2" x14ac:dyDescent="0.35">
      <c r="B6763"/>
    </row>
    <row r="6764" spans="1:2" x14ac:dyDescent="0.35">
      <c r="B6764"/>
    </row>
    <row r="6765" spans="1:2" ht="15.5" x14ac:dyDescent="0.35">
      <c r="A6765" s="49"/>
      <c r="B6765" s="49"/>
    </row>
    <row r="6766" spans="1:2" x14ac:dyDescent="0.35">
      <c r="B6766"/>
    </row>
    <row r="6767" spans="1:2" x14ac:dyDescent="0.35">
      <c r="B6767"/>
    </row>
    <row r="6768" spans="1:2" x14ac:dyDescent="0.35">
      <c r="B6768"/>
    </row>
    <row r="6769" spans="1:2" x14ac:dyDescent="0.35">
      <c r="B6769"/>
    </row>
    <row r="6770" spans="1:2" x14ac:dyDescent="0.35">
      <c r="B6770"/>
    </row>
    <row r="6771" spans="1:2" x14ac:dyDescent="0.35">
      <c r="B6771"/>
    </row>
    <row r="6772" spans="1:2" x14ac:dyDescent="0.35">
      <c r="B6772"/>
    </row>
    <row r="6773" spans="1:2" x14ac:dyDescent="0.35">
      <c r="B6773"/>
    </row>
    <row r="6774" spans="1:2" x14ac:dyDescent="0.35">
      <c r="B6774"/>
    </row>
    <row r="6775" spans="1:2" ht="15.5" x14ac:dyDescent="0.35">
      <c r="A6775" s="49"/>
      <c r="B6775"/>
    </row>
    <row r="6776" spans="1:2" x14ac:dyDescent="0.35">
      <c r="B6776"/>
    </row>
    <row r="6777" spans="1:2" x14ac:dyDescent="0.35">
      <c r="B6777"/>
    </row>
    <row r="6778" spans="1:2" x14ac:dyDescent="0.35">
      <c r="B6778"/>
    </row>
    <row r="6779" spans="1:2" x14ac:dyDescent="0.35">
      <c r="B6779"/>
    </row>
    <row r="6780" spans="1:2" x14ac:dyDescent="0.35">
      <c r="B6780"/>
    </row>
    <row r="6781" spans="1:2" x14ac:dyDescent="0.35">
      <c r="B6781"/>
    </row>
    <row r="6782" spans="1:2" x14ac:dyDescent="0.35">
      <c r="B6782"/>
    </row>
    <row r="6783" spans="1:2" ht="15.5" x14ac:dyDescent="0.35">
      <c r="A6783" s="49"/>
      <c r="B6783" s="49"/>
    </row>
    <row r="6784" spans="1:2" x14ac:dyDescent="0.35">
      <c r="B6784"/>
    </row>
    <row r="6785" spans="1:2" x14ac:dyDescent="0.35">
      <c r="B6785"/>
    </row>
    <row r="6786" spans="1:2" x14ac:dyDescent="0.35">
      <c r="B6786"/>
    </row>
    <row r="6787" spans="1:2" x14ac:dyDescent="0.35">
      <c r="B6787"/>
    </row>
    <row r="6788" spans="1:2" x14ac:dyDescent="0.35">
      <c r="B6788"/>
    </row>
    <row r="6789" spans="1:2" x14ac:dyDescent="0.35">
      <c r="B6789"/>
    </row>
    <row r="6790" spans="1:2" x14ac:dyDescent="0.35">
      <c r="B6790"/>
    </row>
    <row r="6791" spans="1:2" x14ac:dyDescent="0.35">
      <c r="B6791"/>
    </row>
    <row r="6792" spans="1:2" x14ac:dyDescent="0.35">
      <c r="B6792"/>
    </row>
    <row r="6793" spans="1:2" ht="15.5" x14ac:dyDescent="0.35">
      <c r="A6793" s="49"/>
      <c r="B6793"/>
    </row>
    <row r="6794" spans="1:2" x14ac:dyDescent="0.35">
      <c r="B6794"/>
    </row>
    <row r="6795" spans="1:2" x14ac:dyDescent="0.35">
      <c r="B6795"/>
    </row>
    <row r="6796" spans="1:2" x14ac:dyDescent="0.35">
      <c r="B6796"/>
    </row>
    <row r="6797" spans="1:2" x14ac:dyDescent="0.35">
      <c r="B6797"/>
    </row>
    <row r="6798" spans="1:2" x14ac:dyDescent="0.35">
      <c r="B6798"/>
    </row>
    <row r="6799" spans="1:2" x14ac:dyDescent="0.35">
      <c r="B6799"/>
    </row>
    <row r="6800" spans="1:2" x14ac:dyDescent="0.35">
      <c r="B6800"/>
    </row>
    <row r="6801" spans="1:2" x14ac:dyDescent="0.35">
      <c r="B6801"/>
    </row>
    <row r="6802" spans="1:2" ht="15.5" x14ac:dyDescent="0.35">
      <c r="A6802" s="49"/>
      <c r="B6802" s="49"/>
    </row>
    <row r="6803" spans="1:2" x14ac:dyDescent="0.35">
      <c r="B6803"/>
    </row>
    <row r="6804" spans="1:2" x14ac:dyDescent="0.35">
      <c r="B6804"/>
    </row>
    <row r="6805" spans="1:2" x14ac:dyDescent="0.35">
      <c r="B6805"/>
    </row>
    <row r="6806" spans="1:2" x14ac:dyDescent="0.35">
      <c r="B6806"/>
    </row>
    <row r="6807" spans="1:2" x14ac:dyDescent="0.35">
      <c r="B6807"/>
    </row>
    <row r="6808" spans="1:2" x14ac:dyDescent="0.35">
      <c r="B6808"/>
    </row>
    <row r="6809" spans="1:2" x14ac:dyDescent="0.35">
      <c r="B6809"/>
    </row>
    <row r="6810" spans="1:2" x14ac:dyDescent="0.35">
      <c r="B6810"/>
    </row>
    <row r="6811" spans="1:2" x14ac:dyDescent="0.35">
      <c r="B6811"/>
    </row>
    <row r="6812" spans="1:2" ht="15.5" x14ac:dyDescent="0.35">
      <c r="A6812" s="49"/>
      <c r="B6812"/>
    </row>
    <row r="6813" spans="1:2" x14ac:dyDescent="0.35">
      <c r="B6813"/>
    </row>
    <row r="6814" spans="1:2" x14ac:dyDescent="0.35">
      <c r="B6814"/>
    </row>
    <row r="6815" spans="1:2" x14ac:dyDescent="0.35">
      <c r="B6815"/>
    </row>
    <row r="6816" spans="1:2" x14ac:dyDescent="0.35">
      <c r="B6816"/>
    </row>
    <row r="6817" spans="1:2" x14ac:dyDescent="0.35">
      <c r="B6817"/>
    </row>
    <row r="6818" spans="1:2" x14ac:dyDescent="0.35">
      <c r="B6818"/>
    </row>
    <row r="6819" spans="1:2" x14ac:dyDescent="0.35">
      <c r="B6819"/>
    </row>
    <row r="6820" spans="1:2" x14ac:dyDescent="0.35">
      <c r="B6820"/>
    </row>
    <row r="6821" spans="1:2" x14ac:dyDescent="0.35">
      <c r="B6821"/>
    </row>
    <row r="6822" spans="1:2" x14ac:dyDescent="0.35">
      <c r="B6822"/>
    </row>
    <row r="6823" spans="1:2" x14ac:dyDescent="0.35">
      <c r="B6823"/>
    </row>
    <row r="6824" spans="1:2" x14ac:dyDescent="0.35">
      <c r="B6824"/>
    </row>
    <row r="6825" spans="1:2" x14ac:dyDescent="0.35">
      <c r="B6825"/>
    </row>
    <row r="6826" spans="1:2" x14ac:dyDescent="0.35">
      <c r="B6826"/>
    </row>
    <row r="6827" spans="1:2" x14ac:dyDescent="0.35">
      <c r="B6827"/>
    </row>
    <row r="6828" spans="1:2" x14ac:dyDescent="0.35">
      <c r="B6828"/>
    </row>
    <row r="6829" spans="1:2" x14ac:dyDescent="0.35">
      <c r="B6829"/>
    </row>
    <row r="6830" spans="1:2" x14ac:dyDescent="0.35">
      <c r="B6830"/>
    </row>
    <row r="6831" spans="1:2" ht="15.5" x14ac:dyDescent="0.35">
      <c r="A6831" s="49"/>
      <c r="B6831" s="49"/>
    </row>
    <row r="6832" spans="1:2" x14ac:dyDescent="0.35">
      <c r="B6832"/>
    </row>
    <row r="6833" spans="1:2" x14ac:dyDescent="0.35">
      <c r="B6833"/>
    </row>
    <row r="6834" spans="1:2" x14ac:dyDescent="0.35">
      <c r="B6834"/>
    </row>
    <row r="6835" spans="1:2" x14ac:dyDescent="0.35">
      <c r="B6835"/>
    </row>
    <row r="6836" spans="1:2" x14ac:dyDescent="0.35">
      <c r="B6836"/>
    </row>
    <row r="6837" spans="1:2" x14ac:dyDescent="0.35">
      <c r="B6837"/>
    </row>
    <row r="6838" spans="1:2" x14ac:dyDescent="0.35">
      <c r="B6838"/>
    </row>
    <row r="6839" spans="1:2" x14ac:dyDescent="0.35">
      <c r="B6839"/>
    </row>
    <row r="6840" spans="1:2" x14ac:dyDescent="0.35">
      <c r="B6840"/>
    </row>
    <row r="6841" spans="1:2" ht="15.5" x14ac:dyDescent="0.35">
      <c r="A6841" s="49"/>
      <c r="B6841"/>
    </row>
    <row r="6842" spans="1:2" x14ac:dyDescent="0.35">
      <c r="B6842"/>
    </row>
    <row r="6843" spans="1:2" x14ac:dyDescent="0.35">
      <c r="B6843"/>
    </row>
    <row r="6844" spans="1:2" x14ac:dyDescent="0.35">
      <c r="B6844"/>
    </row>
    <row r="6845" spans="1:2" x14ac:dyDescent="0.35">
      <c r="B6845"/>
    </row>
    <row r="6846" spans="1:2" x14ac:dyDescent="0.35">
      <c r="B6846"/>
    </row>
    <row r="6847" spans="1:2" x14ac:dyDescent="0.35">
      <c r="B6847"/>
    </row>
    <row r="6848" spans="1:2" x14ac:dyDescent="0.35">
      <c r="B6848"/>
    </row>
    <row r="6849" spans="1:2" x14ac:dyDescent="0.35">
      <c r="B6849"/>
    </row>
    <row r="6850" spans="1:2" x14ac:dyDescent="0.35">
      <c r="B6850"/>
    </row>
    <row r="6851" spans="1:2" x14ac:dyDescent="0.35">
      <c r="B6851"/>
    </row>
    <row r="6852" spans="1:2" x14ac:dyDescent="0.35">
      <c r="B6852"/>
    </row>
    <row r="6853" spans="1:2" x14ac:dyDescent="0.35">
      <c r="B6853"/>
    </row>
    <row r="6854" spans="1:2" x14ac:dyDescent="0.35">
      <c r="B6854"/>
    </row>
    <row r="6855" spans="1:2" x14ac:dyDescent="0.35">
      <c r="B6855"/>
    </row>
    <row r="6856" spans="1:2" x14ac:dyDescent="0.35">
      <c r="B6856"/>
    </row>
    <row r="6857" spans="1:2" x14ac:dyDescent="0.35">
      <c r="B6857"/>
    </row>
    <row r="6858" spans="1:2" x14ac:dyDescent="0.35">
      <c r="B6858"/>
    </row>
    <row r="6859" spans="1:2" ht="15.5" x14ac:dyDescent="0.35">
      <c r="A6859" s="49"/>
      <c r="B6859" s="49"/>
    </row>
    <row r="6860" spans="1:2" x14ac:dyDescent="0.35">
      <c r="B6860"/>
    </row>
    <row r="6861" spans="1:2" x14ac:dyDescent="0.35">
      <c r="B6861"/>
    </row>
    <row r="6862" spans="1:2" x14ac:dyDescent="0.35">
      <c r="B6862"/>
    </row>
    <row r="6863" spans="1:2" x14ac:dyDescent="0.35">
      <c r="B6863"/>
    </row>
    <row r="6864" spans="1:2" x14ac:dyDescent="0.35">
      <c r="B6864"/>
    </row>
    <row r="6865" spans="1:2" x14ac:dyDescent="0.35">
      <c r="B6865"/>
    </row>
    <row r="6866" spans="1:2" x14ac:dyDescent="0.35">
      <c r="B6866"/>
    </row>
    <row r="6867" spans="1:2" x14ac:dyDescent="0.35">
      <c r="B6867"/>
    </row>
    <row r="6868" spans="1:2" x14ac:dyDescent="0.35">
      <c r="B6868"/>
    </row>
    <row r="6869" spans="1:2" ht="15.5" x14ac:dyDescent="0.35">
      <c r="A6869" s="49"/>
      <c r="B6869"/>
    </row>
    <row r="6870" spans="1:2" x14ac:dyDescent="0.35">
      <c r="B6870"/>
    </row>
    <row r="6871" spans="1:2" x14ac:dyDescent="0.35">
      <c r="B6871"/>
    </row>
    <row r="6872" spans="1:2" x14ac:dyDescent="0.35">
      <c r="B6872"/>
    </row>
    <row r="6873" spans="1:2" x14ac:dyDescent="0.35">
      <c r="B6873"/>
    </row>
    <row r="6874" spans="1:2" x14ac:dyDescent="0.35">
      <c r="B6874"/>
    </row>
    <row r="6875" spans="1:2" x14ac:dyDescent="0.35">
      <c r="B6875"/>
    </row>
    <row r="6876" spans="1:2" x14ac:dyDescent="0.35">
      <c r="B6876"/>
    </row>
    <row r="6877" spans="1:2" x14ac:dyDescent="0.35">
      <c r="B6877"/>
    </row>
    <row r="6878" spans="1:2" x14ac:dyDescent="0.35">
      <c r="B6878"/>
    </row>
    <row r="6879" spans="1:2" x14ac:dyDescent="0.35">
      <c r="B6879"/>
    </row>
    <row r="6880" spans="1:2" x14ac:dyDescent="0.35">
      <c r="B6880"/>
    </row>
    <row r="6881" spans="1:2" x14ac:dyDescent="0.35">
      <c r="B6881"/>
    </row>
    <row r="6882" spans="1:2" x14ac:dyDescent="0.35">
      <c r="B6882"/>
    </row>
    <row r="6883" spans="1:2" x14ac:dyDescent="0.35">
      <c r="B6883"/>
    </row>
    <row r="6884" spans="1:2" x14ac:dyDescent="0.35">
      <c r="B6884"/>
    </row>
    <row r="6885" spans="1:2" x14ac:dyDescent="0.35">
      <c r="B6885"/>
    </row>
    <row r="6886" spans="1:2" ht="15.5" x14ac:dyDescent="0.35">
      <c r="A6886" s="49"/>
      <c r="B6886" s="49"/>
    </row>
    <row r="6887" spans="1:2" x14ac:dyDescent="0.35">
      <c r="B6887"/>
    </row>
    <row r="6888" spans="1:2" x14ac:dyDescent="0.35">
      <c r="B6888"/>
    </row>
    <row r="6889" spans="1:2" x14ac:dyDescent="0.35">
      <c r="B6889"/>
    </row>
    <row r="6890" spans="1:2" x14ac:dyDescent="0.35">
      <c r="B6890"/>
    </row>
    <row r="6891" spans="1:2" x14ac:dyDescent="0.35">
      <c r="B6891"/>
    </row>
    <row r="6892" spans="1:2" x14ac:dyDescent="0.35">
      <c r="B6892"/>
    </row>
    <row r="6893" spans="1:2" x14ac:dyDescent="0.35">
      <c r="B6893"/>
    </row>
    <row r="6894" spans="1:2" x14ac:dyDescent="0.35">
      <c r="B6894"/>
    </row>
    <row r="6895" spans="1:2" x14ac:dyDescent="0.35">
      <c r="B6895"/>
    </row>
    <row r="6896" spans="1:2" ht="15.5" x14ac:dyDescent="0.35">
      <c r="A6896" s="49"/>
      <c r="B6896"/>
    </row>
    <row r="6897" spans="2:2" x14ac:dyDescent="0.35">
      <c r="B6897"/>
    </row>
    <row r="6898" spans="2:2" x14ac:dyDescent="0.35">
      <c r="B6898"/>
    </row>
    <row r="6899" spans="2:2" x14ac:dyDescent="0.35">
      <c r="B6899"/>
    </row>
    <row r="6900" spans="2:2" x14ac:dyDescent="0.35">
      <c r="B6900"/>
    </row>
    <row r="6901" spans="2:2" x14ac:dyDescent="0.35">
      <c r="B6901"/>
    </row>
    <row r="6902" spans="2:2" x14ac:dyDescent="0.35">
      <c r="B6902"/>
    </row>
    <row r="6903" spans="2:2" x14ac:dyDescent="0.35">
      <c r="B6903"/>
    </row>
    <row r="6904" spans="2:2" x14ac:dyDescent="0.35">
      <c r="B6904"/>
    </row>
    <row r="6905" spans="2:2" x14ac:dyDescent="0.35">
      <c r="B6905"/>
    </row>
    <row r="6906" spans="2:2" x14ac:dyDescent="0.35">
      <c r="B6906"/>
    </row>
    <row r="6907" spans="2:2" x14ac:dyDescent="0.35">
      <c r="B6907"/>
    </row>
    <row r="6908" spans="2:2" x14ac:dyDescent="0.35">
      <c r="B6908"/>
    </row>
    <row r="6909" spans="2:2" x14ac:dyDescent="0.35">
      <c r="B6909"/>
    </row>
    <row r="6910" spans="2:2" x14ac:dyDescent="0.35">
      <c r="B6910"/>
    </row>
    <row r="6911" spans="2:2" x14ac:dyDescent="0.35">
      <c r="B6911"/>
    </row>
    <row r="6912" spans="2:2" x14ac:dyDescent="0.35">
      <c r="B6912"/>
    </row>
    <row r="6913" spans="1:2" ht="15.5" x14ac:dyDescent="0.35">
      <c r="A6913" s="49"/>
      <c r="B6913" s="49"/>
    </row>
    <row r="6914" spans="1:2" x14ac:dyDescent="0.35">
      <c r="B6914"/>
    </row>
    <row r="6915" spans="1:2" x14ac:dyDescent="0.35">
      <c r="B6915"/>
    </row>
    <row r="6916" spans="1:2" x14ac:dyDescent="0.35">
      <c r="B6916"/>
    </row>
    <row r="6917" spans="1:2" x14ac:dyDescent="0.35">
      <c r="B6917"/>
    </row>
    <row r="6918" spans="1:2" x14ac:dyDescent="0.35">
      <c r="B6918"/>
    </row>
    <row r="6919" spans="1:2" x14ac:dyDescent="0.35">
      <c r="B6919"/>
    </row>
    <row r="6920" spans="1:2" x14ac:dyDescent="0.35">
      <c r="B6920"/>
    </row>
    <row r="6921" spans="1:2" x14ac:dyDescent="0.35">
      <c r="B6921"/>
    </row>
    <row r="6922" spans="1:2" x14ac:dyDescent="0.35">
      <c r="B6922"/>
    </row>
    <row r="6923" spans="1:2" ht="15.5" x14ac:dyDescent="0.35">
      <c r="A6923" s="49"/>
      <c r="B6923"/>
    </row>
    <row r="6924" spans="1:2" x14ac:dyDescent="0.35">
      <c r="B6924"/>
    </row>
    <row r="6925" spans="1:2" x14ac:dyDescent="0.35">
      <c r="B6925"/>
    </row>
    <row r="6926" spans="1:2" x14ac:dyDescent="0.35">
      <c r="B6926"/>
    </row>
    <row r="6927" spans="1:2" x14ac:dyDescent="0.35">
      <c r="B6927"/>
    </row>
    <row r="6928" spans="1:2" x14ac:dyDescent="0.35">
      <c r="B6928"/>
    </row>
    <row r="6929" spans="1:2" x14ac:dyDescent="0.35">
      <c r="B6929"/>
    </row>
    <row r="6930" spans="1:2" x14ac:dyDescent="0.35">
      <c r="B6930"/>
    </row>
    <row r="6931" spans="1:2" x14ac:dyDescent="0.35">
      <c r="B6931"/>
    </row>
    <row r="6932" spans="1:2" x14ac:dyDescent="0.35">
      <c r="B6932"/>
    </row>
    <row r="6933" spans="1:2" x14ac:dyDescent="0.35">
      <c r="B6933"/>
    </row>
    <row r="6934" spans="1:2" x14ac:dyDescent="0.35">
      <c r="B6934"/>
    </row>
    <row r="6935" spans="1:2" x14ac:dyDescent="0.35">
      <c r="B6935"/>
    </row>
    <row r="6936" spans="1:2" ht="15.5" x14ac:dyDescent="0.35">
      <c r="A6936" s="49"/>
      <c r="B6936" s="49"/>
    </row>
    <row r="6937" spans="1:2" x14ac:dyDescent="0.35">
      <c r="B6937"/>
    </row>
    <row r="6938" spans="1:2" x14ac:dyDescent="0.35">
      <c r="B6938"/>
    </row>
    <row r="6939" spans="1:2" x14ac:dyDescent="0.35">
      <c r="B6939"/>
    </row>
    <row r="6940" spans="1:2" x14ac:dyDescent="0.35">
      <c r="B6940"/>
    </row>
    <row r="6941" spans="1:2" x14ac:dyDescent="0.35">
      <c r="B6941"/>
    </row>
    <row r="6942" spans="1:2" x14ac:dyDescent="0.35">
      <c r="B6942"/>
    </row>
    <row r="6943" spans="1:2" x14ac:dyDescent="0.35">
      <c r="B6943"/>
    </row>
    <row r="6944" spans="1:2" x14ac:dyDescent="0.35">
      <c r="B6944"/>
    </row>
    <row r="6945" spans="1:2" x14ac:dyDescent="0.35">
      <c r="B6945"/>
    </row>
    <row r="6946" spans="1:2" ht="15.5" x14ac:dyDescent="0.35">
      <c r="A6946" s="49"/>
      <c r="B6946"/>
    </row>
    <row r="6947" spans="1:2" x14ac:dyDescent="0.35">
      <c r="B6947"/>
    </row>
    <row r="6948" spans="1:2" x14ac:dyDescent="0.35">
      <c r="B6948"/>
    </row>
    <row r="6949" spans="1:2" x14ac:dyDescent="0.35">
      <c r="B6949"/>
    </row>
    <row r="6950" spans="1:2" x14ac:dyDescent="0.35">
      <c r="B6950"/>
    </row>
    <row r="6951" spans="1:2" x14ac:dyDescent="0.35">
      <c r="B6951"/>
    </row>
    <row r="6952" spans="1:2" x14ac:dyDescent="0.35">
      <c r="B6952"/>
    </row>
    <row r="6953" spans="1:2" x14ac:dyDescent="0.35">
      <c r="B6953"/>
    </row>
    <row r="6954" spans="1:2" x14ac:dyDescent="0.35">
      <c r="B6954"/>
    </row>
    <row r="6955" spans="1:2" x14ac:dyDescent="0.35">
      <c r="B6955"/>
    </row>
    <row r="6956" spans="1:2" x14ac:dyDescent="0.35">
      <c r="B6956"/>
    </row>
    <row r="6957" spans="1:2" x14ac:dyDescent="0.35">
      <c r="B6957"/>
    </row>
    <row r="6958" spans="1:2" x14ac:dyDescent="0.35">
      <c r="B6958"/>
    </row>
    <row r="6959" spans="1:2" x14ac:dyDescent="0.35">
      <c r="B6959"/>
    </row>
    <row r="6960" spans="1:2" x14ac:dyDescent="0.35">
      <c r="B6960"/>
    </row>
    <row r="6961" spans="2:2" x14ac:dyDescent="0.35">
      <c r="B6961"/>
    </row>
    <row r="6962" spans="2:2" x14ac:dyDescent="0.35">
      <c r="B6962"/>
    </row>
    <row r="6963" spans="2:2" x14ac:dyDescent="0.35">
      <c r="B6963"/>
    </row>
    <row r="6964" spans="2:2" x14ac:dyDescent="0.35">
      <c r="B6964"/>
    </row>
    <row r="6965" spans="2:2" x14ac:dyDescent="0.35">
      <c r="B6965"/>
    </row>
    <row r="6966" spans="2:2" x14ac:dyDescent="0.35">
      <c r="B6966"/>
    </row>
    <row r="6967" spans="2:2" x14ac:dyDescent="0.35">
      <c r="B6967"/>
    </row>
    <row r="6968" spans="2:2" x14ac:dyDescent="0.35">
      <c r="B6968"/>
    </row>
    <row r="6969" spans="2:2" x14ac:dyDescent="0.35">
      <c r="B6969"/>
    </row>
    <row r="6970" spans="2:2" x14ac:dyDescent="0.35">
      <c r="B6970"/>
    </row>
    <row r="6971" spans="2:2" x14ac:dyDescent="0.35">
      <c r="B6971"/>
    </row>
    <row r="6972" spans="2:2" x14ac:dyDescent="0.35">
      <c r="B6972"/>
    </row>
    <row r="6973" spans="2:2" x14ac:dyDescent="0.35">
      <c r="B6973"/>
    </row>
    <row r="6974" spans="2:2" x14ac:dyDescent="0.35">
      <c r="B6974"/>
    </row>
    <row r="6975" spans="2:2" x14ac:dyDescent="0.35">
      <c r="B6975"/>
    </row>
    <row r="6976" spans="2:2" x14ac:dyDescent="0.35">
      <c r="B6976"/>
    </row>
    <row r="6977" spans="1:2" x14ac:dyDescent="0.35">
      <c r="B6977"/>
    </row>
    <row r="6978" spans="1:2" x14ac:dyDescent="0.35">
      <c r="B6978"/>
    </row>
    <row r="6979" spans="1:2" x14ac:dyDescent="0.35">
      <c r="B6979"/>
    </row>
    <row r="6980" spans="1:2" x14ac:dyDescent="0.35">
      <c r="B6980"/>
    </row>
    <row r="6981" spans="1:2" x14ac:dyDescent="0.35">
      <c r="B6981"/>
    </row>
    <row r="6982" spans="1:2" x14ac:dyDescent="0.35">
      <c r="B6982"/>
    </row>
    <row r="6983" spans="1:2" x14ac:dyDescent="0.35">
      <c r="B6983"/>
    </row>
    <row r="6984" spans="1:2" x14ac:dyDescent="0.35">
      <c r="B6984"/>
    </row>
    <row r="6985" spans="1:2" x14ac:dyDescent="0.35">
      <c r="B6985"/>
    </row>
    <row r="6986" spans="1:2" ht="15.5" x14ac:dyDescent="0.35">
      <c r="A6986" s="49"/>
      <c r="B6986" s="49"/>
    </row>
    <row r="6987" spans="1:2" x14ac:dyDescent="0.35">
      <c r="B6987"/>
    </row>
    <row r="6988" spans="1:2" x14ac:dyDescent="0.35">
      <c r="B6988"/>
    </row>
    <row r="6989" spans="1:2" x14ac:dyDescent="0.35">
      <c r="B6989"/>
    </row>
    <row r="6990" spans="1:2" x14ac:dyDescent="0.35">
      <c r="B6990"/>
    </row>
    <row r="6991" spans="1:2" x14ac:dyDescent="0.35">
      <c r="B6991"/>
    </row>
    <row r="6992" spans="1:2" x14ac:dyDescent="0.35">
      <c r="B6992"/>
    </row>
    <row r="6993" spans="1:2" x14ac:dyDescent="0.35">
      <c r="B6993"/>
    </row>
    <row r="6994" spans="1:2" x14ac:dyDescent="0.35">
      <c r="B6994"/>
    </row>
    <row r="6995" spans="1:2" x14ac:dyDescent="0.35">
      <c r="B6995"/>
    </row>
    <row r="6996" spans="1:2" ht="15.5" x14ac:dyDescent="0.35">
      <c r="A6996" s="49"/>
      <c r="B6996"/>
    </row>
    <row r="6997" spans="1:2" x14ac:dyDescent="0.35">
      <c r="B6997"/>
    </row>
    <row r="6998" spans="1:2" x14ac:dyDescent="0.35">
      <c r="B6998"/>
    </row>
    <row r="6999" spans="1:2" x14ac:dyDescent="0.35">
      <c r="B6999"/>
    </row>
    <row r="7000" spans="1:2" x14ac:dyDescent="0.35">
      <c r="B7000"/>
    </row>
    <row r="7001" spans="1:2" x14ac:dyDescent="0.35">
      <c r="B7001"/>
    </row>
    <row r="7002" spans="1:2" x14ac:dyDescent="0.35">
      <c r="B7002"/>
    </row>
    <row r="7003" spans="1:2" x14ac:dyDescent="0.35">
      <c r="B7003"/>
    </row>
    <row r="7004" spans="1:2" x14ac:dyDescent="0.35">
      <c r="B7004"/>
    </row>
    <row r="7005" spans="1:2" x14ac:dyDescent="0.35">
      <c r="B7005"/>
    </row>
    <row r="7006" spans="1:2" x14ac:dyDescent="0.35">
      <c r="B7006"/>
    </row>
    <row r="7007" spans="1:2" x14ac:dyDescent="0.35">
      <c r="B7007"/>
    </row>
    <row r="7008" spans="1:2" x14ac:dyDescent="0.35">
      <c r="B7008"/>
    </row>
    <row r="7009" spans="2:2" x14ac:dyDescent="0.35">
      <c r="B7009"/>
    </row>
    <row r="7010" spans="2:2" x14ac:dyDescent="0.35">
      <c r="B7010"/>
    </row>
    <row r="7011" spans="2:2" x14ac:dyDescent="0.35">
      <c r="B7011"/>
    </row>
    <row r="7012" spans="2:2" x14ac:dyDescent="0.35">
      <c r="B7012"/>
    </row>
    <row r="7013" spans="2:2" x14ac:dyDescent="0.35">
      <c r="B7013"/>
    </row>
    <row r="7014" spans="2:2" x14ac:dyDescent="0.35">
      <c r="B7014"/>
    </row>
    <row r="7015" spans="2:2" x14ac:dyDescent="0.35">
      <c r="B7015"/>
    </row>
    <row r="7016" spans="2:2" x14ac:dyDescent="0.35">
      <c r="B7016"/>
    </row>
    <row r="7017" spans="2:2" x14ac:dyDescent="0.35">
      <c r="B7017"/>
    </row>
    <row r="7018" spans="2:2" x14ac:dyDescent="0.35">
      <c r="B7018"/>
    </row>
    <row r="7019" spans="2:2" x14ac:dyDescent="0.35">
      <c r="B7019"/>
    </row>
    <row r="7020" spans="2:2" x14ac:dyDescent="0.35">
      <c r="B7020"/>
    </row>
    <row r="7021" spans="2:2" x14ac:dyDescent="0.35">
      <c r="B7021"/>
    </row>
    <row r="7022" spans="2:2" x14ac:dyDescent="0.35">
      <c r="B7022"/>
    </row>
    <row r="7023" spans="2:2" x14ac:dyDescent="0.35">
      <c r="B7023"/>
    </row>
    <row r="7024" spans="2:2" x14ac:dyDescent="0.35">
      <c r="B7024"/>
    </row>
    <row r="7025" spans="1:2" x14ac:dyDescent="0.35">
      <c r="B7025"/>
    </row>
    <row r="7026" spans="1:2" x14ac:dyDescent="0.35">
      <c r="B7026"/>
    </row>
    <row r="7027" spans="1:2" x14ac:dyDescent="0.35">
      <c r="B7027"/>
    </row>
    <row r="7028" spans="1:2" x14ac:dyDescent="0.35">
      <c r="B7028"/>
    </row>
    <row r="7029" spans="1:2" x14ac:dyDescent="0.35">
      <c r="B7029"/>
    </row>
    <row r="7030" spans="1:2" x14ac:dyDescent="0.35">
      <c r="B7030"/>
    </row>
    <row r="7031" spans="1:2" x14ac:dyDescent="0.35">
      <c r="B7031"/>
    </row>
    <row r="7032" spans="1:2" x14ac:dyDescent="0.35">
      <c r="B7032"/>
    </row>
    <row r="7033" spans="1:2" x14ac:dyDescent="0.35">
      <c r="B7033"/>
    </row>
    <row r="7034" spans="1:2" x14ac:dyDescent="0.35">
      <c r="B7034"/>
    </row>
    <row r="7035" spans="1:2" x14ac:dyDescent="0.35">
      <c r="B7035"/>
    </row>
    <row r="7036" spans="1:2" ht="15.5" x14ac:dyDescent="0.35">
      <c r="A7036" s="49"/>
      <c r="B7036" s="49"/>
    </row>
    <row r="7037" spans="1:2" x14ac:dyDescent="0.35">
      <c r="B7037"/>
    </row>
    <row r="7038" spans="1:2" x14ac:dyDescent="0.35">
      <c r="B7038"/>
    </row>
    <row r="7039" spans="1:2" x14ac:dyDescent="0.35">
      <c r="B7039"/>
    </row>
    <row r="7040" spans="1:2" x14ac:dyDescent="0.35">
      <c r="B7040"/>
    </row>
    <row r="7041" spans="1:2" x14ac:dyDescent="0.35">
      <c r="B7041"/>
    </row>
    <row r="7042" spans="1:2" x14ac:dyDescent="0.35">
      <c r="B7042"/>
    </row>
    <row r="7043" spans="1:2" x14ac:dyDescent="0.35">
      <c r="B7043"/>
    </row>
    <row r="7044" spans="1:2" x14ac:dyDescent="0.35">
      <c r="B7044"/>
    </row>
    <row r="7045" spans="1:2" x14ac:dyDescent="0.35">
      <c r="B7045"/>
    </row>
    <row r="7046" spans="1:2" ht="15.5" x14ac:dyDescent="0.35">
      <c r="A7046" s="49"/>
      <c r="B7046"/>
    </row>
    <row r="7047" spans="1:2" x14ac:dyDescent="0.35">
      <c r="B7047"/>
    </row>
    <row r="7048" spans="1:2" x14ac:dyDescent="0.35">
      <c r="B7048"/>
    </row>
    <row r="7049" spans="1:2" x14ac:dyDescent="0.35">
      <c r="B7049"/>
    </row>
    <row r="7050" spans="1:2" x14ac:dyDescent="0.35">
      <c r="B7050"/>
    </row>
    <row r="7051" spans="1:2" x14ac:dyDescent="0.35">
      <c r="B7051"/>
    </row>
    <row r="7052" spans="1:2" x14ac:dyDescent="0.35">
      <c r="B7052"/>
    </row>
    <row r="7053" spans="1:2" x14ac:dyDescent="0.35">
      <c r="B7053"/>
    </row>
    <row r="7054" spans="1:2" x14ac:dyDescent="0.35">
      <c r="B7054"/>
    </row>
    <row r="7055" spans="1:2" x14ac:dyDescent="0.35">
      <c r="B7055"/>
    </row>
    <row r="7056" spans="1:2" x14ac:dyDescent="0.35">
      <c r="B7056"/>
    </row>
    <row r="7057" spans="2:2" x14ac:dyDescent="0.35">
      <c r="B7057"/>
    </row>
    <row r="7058" spans="2:2" x14ac:dyDescent="0.35">
      <c r="B7058"/>
    </row>
    <row r="7059" spans="2:2" x14ac:dyDescent="0.35">
      <c r="B7059"/>
    </row>
    <row r="7060" spans="2:2" x14ac:dyDescent="0.35">
      <c r="B7060"/>
    </row>
    <row r="7061" spans="2:2" x14ac:dyDescent="0.35">
      <c r="B7061"/>
    </row>
    <row r="7062" spans="2:2" x14ac:dyDescent="0.35">
      <c r="B7062"/>
    </row>
    <row r="7063" spans="2:2" x14ac:dyDescent="0.35">
      <c r="B7063"/>
    </row>
    <row r="7064" spans="2:2" x14ac:dyDescent="0.35">
      <c r="B7064"/>
    </row>
    <row r="7065" spans="2:2" x14ac:dyDescent="0.35">
      <c r="B7065"/>
    </row>
    <row r="7066" spans="2:2" x14ac:dyDescent="0.35">
      <c r="B7066"/>
    </row>
    <row r="7067" spans="2:2" x14ac:dyDescent="0.35">
      <c r="B7067"/>
    </row>
    <row r="7068" spans="2:2" x14ac:dyDescent="0.35">
      <c r="B7068"/>
    </row>
    <row r="7069" spans="2:2" x14ac:dyDescent="0.35">
      <c r="B7069"/>
    </row>
    <row r="7070" spans="2:2" x14ac:dyDescent="0.35">
      <c r="B7070"/>
    </row>
    <row r="7071" spans="2:2" x14ac:dyDescent="0.35">
      <c r="B7071"/>
    </row>
    <row r="7072" spans="2:2" x14ac:dyDescent="0.35">
      <c r="B7072"/>
    </row>
    <row r="7073" spans="1:2" x14ac:dyDescent="0.35">
      <c r="B7073"/>
    </row>
    <row r="7074" spans="1:2" x14ac:dyDescent="0.35">
      <c r="B7074"/>
    </row>
    <row r="7075" spans="1:2" x14ac:dyDescent="0.35">
      <c r="B7075"/>
    </row>
    <row r="7076" spans="1:2" x14ac:dyDescent="0.35">
      <c r="B7076"/>
    </row>
    <row r="7077" spans="1:2" x14ac:dyDescent="0.35">
      <c r="B7077"/>
    </row>
    <row r="7078" spans="1:2" x14ac:dyDescent="0.35">
      <c r="B7078"/>
    </row>
    <row r="7079" spans="1:2" x14ac:dyDescent="0.35">
      <c r="B7079"/>
    </row>
    <row r="7080" spans="1:2" x14ac:dyDescent="0.35">
      <c r="B7080"/>
    </row>
    <row r="7081" spans="1:2" x14ac:dyDescent="0.35">
      <c r="B7081"/>
    </row>
    <row r="7082" spans="1:2" x14ac:dyDescent="0.35">
      <c r="B7082"/>
    </row>
    <row r="7083" spans="1:2" x14ac:dyDescent="0.35">
      <c r="B7083"/>
    </row>
    <row r="7084" spans="1:2" x14ac:dyDescent="0.35">
      <c r="B7084"/>
    </row>
    <row r="7085" spans="1:2" x14ac:dyDescent="0.35">
      <c r="B7085"/>
    </row>
    <row r="7086" spans="1:2" ht="15.5" x14ac:dyDescent="0.35">
      <c r="A7086" s="49"/>
      <c r="B7086" s="49"/>
    </row>
    <row r="7087" spans="1:2" x14ac:dyDescent="0.35">
      <c r="B7087"/>
    </row>
    <row r="7088" spans="1:2" x14ac:dyDescent="0.35">
      <c r="B7088"/>
    </row>
    <row r="7089" spans="1:2" x14ac:dyDescent="0.35">
      <c r="B7089"/>
    </row>
    <row r="7090" spans="1:2" x14ac:dyDescent="0.35">
      <c r="B7090"/>
    </row>
    <row r="7091" spans="1:2" x14ac:dyDescent="0.35">
      <c r="B7091"/>
    </row>
    <row r="7092" spans="1:2" x14ac:dyDescent="0.35">
      <c r="B7092"/>
    </row>
    <row r="7093" spans="1:2" x14ac:dyDescent="0.35">
      <c r="B7093"/>
    </row>
    <row r="7094" spans="1:2" x14ac:dyDescent="0.35">
      <c r="B7094"/>
    </row>
    <row r="7095" spans="1:2" x14ac:dyDescent="0.35">
      <c r="B7095"/>
    </row>
    <row r="7096" spans="1:2" ht="15.5" x14ac:dyDescent="0.35">
      <c r="A7096" s="49"/>
      <c r="B7096"/>
    </row>
    <row r="7097" spans="1:2" x14ac:dyDescent="0.35">
      <c r="B7097"/>
    </row>
    <row r="7098" spans="1:2" x14ac:dyDescent="0.35">
      <c r="B7098"/>
    </row>
    <row r="7099" spans="1:2" x14ac:dyDescent="0.35">
      <c r="B7099"/>
    </row>
    <row r="7100" spans="1:2" x14ac:dyDescent="0.35">
      <c r="B7100"/>
    </row>
    <row r="7101" spans="1:2" x14ac:dyDescent="0.35">
      <c r="B7101"/>
    </row>
    <row r="7102" spans="1:2" x14ac:dyDescent="0.35">
      <c r="B7102"/>
    </row>
    <row r="7103" spans="1:2" x14ac:dyDescent="0.35">
      <c r="B7103"/>
    </row>
    <row r="7104" spans="1:2" x14ac:dyDescent="0.35">
      <c r="B7104"/>
    </row>
    <row r="7105" spans="2:2" x14ac:dyDescent="0.35">
      <c r="B7105"/>
    </row>
    <row r="7106" spans="2:2" x14ac:dyDescent="0.35">
      <c r="B7106"/>
    </row>
    <row r="7107" spans="2:2" x14ac:dyDescent="0.35">
      <c r="B7107"/>
    </row>
    <row r="7108" spans="2:2" x14ac:dyDescent="0.35">
      <c r="B7108"/>
    </row>
    <row r="7109" spans="2:2" x14ac:dyDescent="0.35">
      <c r="B7109"/>
    </row>
    <row r="7110" spans="2:2" x14ac:dyDescent="0.35">
      <c r="B7110"/>
    </row>
    <row r="7111" spans="2:2" x14ac:dyDescent="0.35">
      <c r="B7111"/>
    </row>
    <row r="7112" spans="2:2" x14ac:dyDescent="0.35">
      <c r="B7112"/>
    </row>
    <row r="7113" spans="2:2" x14ac:dyDescent="0.35">
      <c r="B7113"/>
    </row>
    <row r="7114" spans="2:2" x14ac:dyDescent="0.35">
      <c r="B7114"/>
    </row>
    <row r="7115" spans="2:2" x14ac:dyDescent="0.35">
      <c r="B7115"/>
    </row>
    <row r="7116" spans="2:2" x14ac:dyDescent="0.35">
      <c r="B7116"/>
    </row>
    <row r="7117" spans="2:2" x14ac:dyDescent="0.35">
      <c r="B7117"/>
    </row>
    <row r="7118" spans="2:2" x14ac:dyDescent="0.35">
      <c r="B7118"/>
    </row>
    <row r="7119" spans="2:2" x14ac:dyDescent="0.35">
      <c r="B7119"/>
    </row>
    <row r="7120" spans="2:2" x14ac:dyDescent="0.35">
      <c r="B7120"/>
    </row>
    <row r="7121" spans="1:2" x14ac:dyDescent="0.35">
      <c r="B7121"/>
    </row>
    <row r="7122" spans="1:2" x14ac:dyDescent="0.35">
      <c r="B7122"/>
    </row>
    <row r="7123" spans="1:2" x14ac:dyDescent="0.35">
      <c r="B7123"/>
    </row>
    <row r="7124" spans="1:2" x14ac:dyDescent="0.35">
      <c r="B7124"/>
    </row>
    <row r="7125" spans="1:2" x14ac:dyDescent="0.35">
      <c r="B7125"/>
    </row>
    <row r="7126" spans="1:2" x14ac:dyDescent="0.35">
      <c r="B7126"/>
    </row>
    <row r="7127" spans="1:2" x14ac:dyDescent="0.35">
      <c r="B7127"/>
    </row>
    <row r="7128" spans="1:2" x14ac:dyDescent="0.35">
      <c r="B7128"/>
    </row>
    <row r="7129" spans="1:2" x14ac:dyDescent="0.35">
      <c r="B7129"/>
    </row>
    <row r="7130" spans="1:2" x14ac:dyDescent="0.35">
      <c r="B7130"/>
    </row>
    <row r="7131" spans="1:2" x14ac:dyDescent="0.35">
      <c r="B7131"/>
    </row>
    <row r="7132" spans="1:2" x14ac:dyDescent="0.35">
      <c r="B7132"/>
    </row>
    <row r="7133" spans="1:2" x14ac:dyDescent="0.35">
      <c r="B7133"/>
    </row>
    <row r="7134" spans="1:2" x14ac:dyDescent="0.35">
      <c r="B7134"/>
    </row>
    <row r="7135" spans="1:2" x14ac:dyDescent="0.35">
      <c r="B7135"/>
    </row>
    <row r="7136" spans="1:2" ht="15.5" x14ac:dyDescent="0.35">
      <c r="A7136" s="49"/>
      <c r="B7136" s="49"/>
    </row>
    <row r="7137" spans="1:2" x14ac:dyDescent="0.35">
      <c r="B7137"/>
    </row>
    <row r="7138" spans="1:2" x14ac:dyDescent="0.35">
      <c r="B7138"/>
    </row>
    <row r="7139" spans="1:2" x14ac:dyDescent="0.35">
      <c r="B7139"/>
    </row>
    <row r="7140" spans="1:2" x14ac:dyDescent="0.35">
      <c r="B7140"/>
    </row>
    <row r="7141" spans="1:2" x14ac:dyDescent="0.35">
      <c r="B7141"/>
    </row>
    <row r="7142" spans="1:2" x14ac:dyDescent="0.35">
      <c r="B7142"/>
    </row>
    <row r="7143" spans="1:2" x14ac:dyDescent="0.35">
      <c r="B7143"/>
    </row>
    <row r="7144" spans="1:2" x14ac:dyDescent="0.35">
      <c r="B7144"/>
    </row>
    <row r="7145" spans="1:2" x14ac:dyDescent="0.35">
      <c r="B7145"/>
    </row>
    <row r="7146" spans="1:2" ht="15.5" x14ac:dyDescent="0.35">
      <c r="A7146" s="49"/>
      <c r="B7146"/>
    </row>
    <row r="7147" spans="1:2" x14ac:dyDescent="0.35">
      <c r="B7147"/>
    </row>
    <row r="7148" spans="1:2" x14ac:dyDescent="0.35">
      <c r="B7148"/>
    </row>
    <row r="7149" spans="1:2" x14ac:dyDescent="0.35">
      <c r="B7149"/>
    </row>
    <row r="7150" spans="1:2" x14ac:dyDescent="0.35">
      <c r="B7150"/>
    </row>
    <row r="7151" spans="1:2" x14ac:dyDescent="0.35">
      <c r="B7151"/>
    </row>
    <row r="7152" spans="1:2" x14ac:dyDescent="0.35">
      <c r="B7152"/>
    </row>
    <row r="7153" spans="2:2" x14ac:dyDescent="0.35">
      <c r="B7153"/>
    </row>
    <row r="7154" spans="2:2" x14ac:dyDescent="0.35">
      <c r="B7154"/>
    </row>
    <row r="7155" spans="2:2" x14ac:dyDescent="0.35">
      <c r="B7155"/>
    </row>
    <row r="7156" spans="2:2" x14ac:dyDescent="0.35">
      <c r="B7156"/>
    </row>
    <row r="7157" spans="2:2" x14ac:dyDescent="0.35">
      <c r="B7157"/>
    </row>
    <row r="7158" spans="2:2" x14ac:dyDescent="0.35">
      <c r="B7158"/>
    </row>
    <row r="7159" spans="2:2" x14ac:dyDescent="0.35">
      <c r="B7159"/>
    </row>
    <row r="7160" spans="2:2" x14ac:dyDescent="0.35">
      <c r="B7160"/>
    </row>
    <row r="7161" spans="2:2" x14ac:dyDescent="0.35">
      <c r="B7161"/>
    </row>
    <row r="7162" spans="2:2" x14ac:dyDescent="0.35">
      <c r="B7162"/>
    </row>
    <row r="7163" spans="2:2" x14ac:dyDescent="0.35">
      <c r="B7163"/>
    </row>
    <row r="7164" spans="2:2" x14ac:dyDescent="0.35">
      <c r="B7164"/>
    </row>
    <row r="7165" spans="2:2" x14ac:dyDescent="0.35">
      <c r="B7165"/>
    </row>
    <row r="7166" spans="2:2" x14ac:dyDescent="0.35">
      <c r="B7166"/>
    </row>
    <row r="7167" spans="2:2" x14ac:dyDescent="0.35">
      <c r="B7167"/>
    </row>
    <row r="7168" spans="2:2" x14ac:dyDescent="0.35">
      <c r="B7168"/>
    </row>
    <row r="7169" spans="2:2" x14ac:dyDescent="0.35">
      <c r="B7169"/>
    </row>
    <row r="7170" spans="2:2" x14ac:dyDescent="0.35">
      <c r="B7170"/>
    </row>
    <row r="7171" spans="2:2" x14ac:dyDescent="0.35">
      <c r="B7171"/>
    </row>
    <row r="7172" spans="2:2" x14ac:dyDescent="0.35">
      <c r="B7172"/>
    </row>
    <row r="7173" spans="2:2" x14ac:dyDescent="0.35">
      <c r="B7173"/>
    </row>
    <row r="7174" spans="2:2" x14ac:dyDescent="0.35">
      <c r="B7174"/>
    </row>
    <row r="7175" spans="2:2" x14ac:dyDescent="0.35">
      <c r="B7175"/>
    </row>
    <row r="7176" spans="2:2" x14ac:dyDescent="0.35">
      <c r="B7176"/>
    </row>
    <row r="7177" spans="2:2" x14ac:dyDescent="0.35">
      <c r="B7177"/>
    </row>
    <row r="7178" spans="2:2" x14ac:dyDescent="0.35">
      <c r="B7178"/>
    </row>
    <row r="7179" spans="2:2" x14ac:dyDescent="0.35">
      <c r="B7179"/>
    </row>
    <row r="7180" spans="2:2" x14ac:dyDescent="0.35">
      <c r="B7180"/>
    </row>
    <row r="7181" spans="2:2" x14ac:dyDescent="0.35">
      <c r="B7181"/>
    </row>
    <row r="7182" spans="2:2" x14ac:dyDescent="0.35">
      <c r="B7182"/>
    </row>
    <row r="7183" spans="2:2" x14ac:dyDescent="0.35">
      <c r="B7183"/>
    </row>
    <row r="7184" spans="2:2" x14ac:dyDescent="0.35">
      <c r="B7184"/>
    </row>
    <row r="7185" spans="1:2" x14ac:dyDescent="0.35">
      <c r="B7185"/>
    </row>
    <row r="7186" spans="1:2" ht="15.5" x14ac:dyDescent="0.35">
      <c r="A7186" s="49"/>
      <c r="B7186" s="49"/>
    </row>
    <row r="7187" spans="1:2" x14ac:dyDescent="0.35">
      <c r="B7187"/>
    </row>
    <row r="7188" spans="1:2" x14ac:dyDescent="0.35">
      <c r="B7188"/>
    </row>
    <row r="7189" spans="1:2" x14ac:dyDescent="0.35">
      <c r="B7189"/>
    </row>
    <row r="7190" spans="1:2" x14ac:dyDescent="0.35">
      <c r="B7190"/>
    </row>
    <row r="7191" spans="1:2" x14ac:dyDescent="0.35">
      <c r="B7191"/>
    </row>
    <row r="7192" spans="1:2" x14ac:dyDescent="0.35">
      <c r="B7192"/>
    </row>
    <row r="7193" spans="1:2" x14ac:dyDescent="0.35">
      <c r="B7193"/>
    </row>
    <row r="7194" spans="1:2" x14ac:dyDescent="0.35">
      <c r="B7194"/>
    </row>
    <row r="7195" spans="1:2" x14ac:dyDescent="0.35">
      <c r="B7195"/>
    </row>
    <row r="7196" spans="1:2" ht="15.5" x14ac:dyDescent="0.35">
      <c r="A7196" s="49"/>
      <c r="B7196"/>
    </row>
    <row r="7197" spans="1:2" x14ac:dyDescent="0.35">
      <c r="B7197"/>
    </row>
    <row r="7198" spans="1:2" x14ac:dyDescent="0.35">
      <c r="B7198"/>
    </row>
    <row r="7199" spans="1:2" x14ac:dyDescent="0.35">
      <c r="B7199"/>
    </row>
    <row r="7200" spans="1:2" x14ac:dyDescent="0.35">
      <c r="B7200"/>
    </row>
    <row r="7201" spans="2:2" x14ac:dyDescent="0.35">
      <c r="B7201"/>
    </row>
    <row r="7202" spans="2:2" x14ac:dyDescent="0.35">
      <c r="B7202"/>
    </row>
    <row r="7203" spans="2:2" x14ac:dyDescent="0.35">
      <c r="B7203"/>
    </row>
    <row r="7204" spans="2:2" x14ac:dyDescent="0.35">
      <c r="B7204"/>
    </row>
    <row r="7205" spans="2:2" x14ac:dyDescent="0.35">
      <c r="B7205"/>
    </row>
    <row r="7206" spans="2:2" x14ac:dyDescent="0.35">
      <c r="B7206"/>
    </row>
    <row r="7207" spans="2:2" x14ac:dyDescent="0.35">
      <c r="B7207"/>
    </row>
    <row r="7208" spans="2:2" x14ac:dyDescent="0.35">
      <c r="B7208"/>
    </row>
    <row r="7209" spans="2:2" x14ac:dyDescent="0.35">
      <c r="B7209"/>
    </row>
    <row r="7210" spans="2:2" x14ac:dyDescent="0.35">
      <c r="B7210"/>
    </row>
    <row r="7211" spans="2:2" x14ac:dyDescent="0.35">
      <c r="B7211"/>
    </row>
    <row r="7212" spans="2:2" x14ac:dyDescent="0.35">
      <c r="B7212"/>
    </row>
    <row r="7213" spans="2:2" x14ac:dyDescent="0.35">
      <c r="B7213"/>
    </row>
    <row r="7214" spans="2:2" x14ac:dyDescent="0.35">
      <c r="B7214"/>
    </row>
    <row r="7215" spans="2:2" x14ac:dyDescent="0.35">
      <c r="B7215"/>
    </row>
    <row r="7216" spans="2:2" x14ac:dyDescent="0.35">
      <c r="B7216"/>
    </row>
    <row r="7217" spans="2:2" x14ac:dyDescent="0.35">
      <c r="B7217"/>
    </row>
    <row r="7218" spans="2:2" x14ac:dyDescent="0.35">
      <c r="B7218"/>
    </row>
    <row r="7219" spans="2:2" x14ac:dyDescent="0.35">
      <c r="B7219"/>
    </row>
    <row r="7220" spans="2:2" x14ac:dyDescent="0.35">
      <c r="B7220"/>
    </row>
    <row r="7221" spans="2:2" x14ac:dyDescent="0.35">
      <c r="B7221"/>
    </row>
    <row r="7222" spans="2:2" x14ac:dyDescent="0.35">
      <c r="B7222"/>
    </row>
    <row r="7223" spans="2:2" x14ac:dyDescent="0.35">
      <c r="B7223"/>
    </row>
    <row r="7224" spans="2:2" x14ac:dyDescent="0.35">
      <c r="B7224"/>
    </row>
    <row r="7225" spans="2:2" x14ac:dyDescent="0.35">
      <c r="B7225"/>
    </row>
    <row r="7226" spans="2:2" x14ac:dyDescent="0.35">
      <c r="B7226"/>
    </row>
    <row r="7227" spans="2:2" x14ac:dyDescent="0.35">
      <c r="B7227"/>
    </row>
    <row r="7228" spans="2:2" x14ac:dyDescent="0.35">
      <c r="B7228"/>
    </row>
    <row r="7229" spans="2:2" x14ac:dyDescent="0.35">
      <c r="B7229"/>
    </row>
    <row r="7230" spans="2:2" x14ac:dyDescent="0.35">
      <c r="B7230"/>
    </row>
    <row r="7231" spans="2:2" x14ac:dyDescent="0.35">
      <c r="B7231"/>
    </row>
    <row r="7232" spans="2:2" x14ac:dyDescent="0.35">
      <c r="B7232"/>
    </row>
    <row r="7233" spans="1:2" x14ac:dyDescent="0.35">
      <c r="B7233"/>
    </row>
    <row r="7234" spans="1:2" x14ac:dyDescent="0.35">
      <c r="B7234"/>
    </row>
    <row r="7235" spans="1:2" x14ac:dyDescent="0.35">
      <c r="B7235"/>
    </row>
    <row r="7236" spans="1:2" ht="15.5" x14ac:dyDescent="0.35">
      <c r="A7236" s="49"/>
      <c r="B7236" s="49"/>
    </row>
    <row r="7237" spans="1:2" x14ac:dyDescent="0.35">
      <c r="B7237"/>
    </row>
    <row r="7238" spans="1:2" x14ac:dyDescent="0.35">
      <c r="B7238"/>
    </row>
    <row r="7239" spans="1:2" x14ac:dyDescent="0.35">
      <c r="B7239"/>
    </row>
    <row r="7240" spans="1:2" x14ac:dyDescent="0.35">
      <c r="B7240"/>
    </row>
    <row r="7241" spans="1:2" x14ac:dyDescent="0.35">
      <c r="B7241"/>
    </row>
    <row r="7242" spans="1:2" x14ac:dyDescent="0.35">
      <c r="B7242"/>
    </row>
    <row r="7243" spans="1:2" x14ac:dyDescent="0.35">
      <c r="B7243"/>
    </row>
    <row r="7244" spans="1:2" x14ac:dyDescent="0.35">
      <c r="B7244"/>
    </row>
    <row r="7245" spans="1:2" x14ac:dyDescent="0.35">
      <c r="B7245"/>
    </row>
    <row r="7246" spans="1:2" ht="15.5" x14ac:dyDescent="0.35">
      <c r="A7246" s="49"/>
      <c r="B7246"/>
    </row>
    <row r="7247" spans="1:2" x14ac:dyDescent="0.35">
      <c r="B7247"/>
    </row>
    <row r="7248" spans="1:2" x14ac:dyDescent="0.35">
      <c r="B7248"/>
    </row>
    <row r="7249" spans="2:2" x14ac:dyDescent="0.35">
      <c r="B7249"/>
    </row>
    <row r="7250" spans="2:2" x14ac:dyDescent="0.35">
      <c r="B7250"/>
    </row>
    <row r="7251" spans="2:2" x14ac:dyDescent="0.35">
      <c r="B7251"/>
    </row>
    <row r="7252" spans="2:2" x14ac:dyDescent="0.35">
      <c r="B7252"/>
    </row>
    <row r="7253" spans="2:2" x14ac:dyDescent="0.35">
      <c r="B7253"/>
    </row>
    <row r="7254" spans="2:2" x14ac:dyDescent="0.35">
      <c r="B7254"/>
    </row>
    <row r="7255" spans="2:2" x14ac:dyDescent="0.35">
      <c r="B7255"/>
    </row>
    <row r="7256" spans="2:2" x14ac:dyDescent="0.35">
      <c r="B7256"/>
    </row>
    <row r="7257" spans="2:2" x14ac:dyDescent="0.35">
      <c r="B7257"/>
    </row>
    <row r="7258" spans="2:2" x14ac:dyDescent="0.35">
      <c r="B7258"/>
    </row>
    <row r="7259" spans="2:2" x14ac:dyDescent="0.35">
      <c r="B7259"/>
    </row>
    <row r="7260" spans="2:2" x14ac:dyDescent="0.35">
      <c r="B7260"/>
    </row>
    <row r="7261" spans="2:2" x14ac:dyDescent="0.35">
      <c r="B7261"/>
    </row>
    <row r="7262" spans="2:2" x14ac:dyDescent="0.35">
      <c r="B7262"/>
    </row>
    <row r="7263" spans="2:2" x14ac:dyDescent="0.35">
      <c r="B7263"/>
    </row>
    <row r="7264" spans="2:2" x14ac:dyDescent="0.35">
      <c r="B7264"/>
    </row>
    <row r="7265" spans="2:2" x14ac:dyDescent="0.35">
      <c r="B7265"/>
    </row>
    <row r="7266" spans="2:2" x14ac:dyDescent="0.35">
      <c r="B7266"/>
    </row>
    <row r="7267" spans="2:2" x14ac:dyDescent="0.35">
      <c r="B7267"/>
    </row>
    <row r="7268" spans="2:2" x14ac:dyDescent="0.35">
      <c r="B7268"/>
    </row>
    <row r="7269" spans="2:2" x14ac:dyDescent="0.35">
      <c r="B7269"/>
    </row>
    <row r="7270" spans="2:2" x14ac:dyDescent="0.35">
      <c r="B7270"/>
    </row>
    <row r="7271" spans="2:2" x14ac:dyDescent="0.35">
      <c r="B7271"/>
    </row>
    <row r="7272" spans="2:2" x14ac:dyDescent="0.35">
      <c r="B7272"/>
    </row>
    <row r="7273" spans="2:2" x14ac:dyDescent="0.35">
      <c r="B7273"/>
    </row>
    <row r="7274" spans="2:2" x14ac:dyDescent="0.35">
      <c r="B7274"/>
    </row>
    <row r="7275" spans="2:2" x14ac:dyDescent="0.35">
      <c r="B7275"/>
    </row>
    <row r="7276" spans="2:2" x14ac:dyDescent="0.35">
      <c r="B7276"/>
    </row>
    <row r="7277" spans="2:2" x14ac:dyDescent="0.35">
      <c r="B7277"/>
    </row>
    <row r="7278" spans="2:2" x14ac:dyDescent="0.35">
      <c r="B7278"/>
    </row>
    <row r="7279" spans="2:2" x14ac:dyDescent="0.35">
      <c r="B7279"/>
    </row>
    <row r="7280" spans="2:2" x14ac:dyDescent="0.35">
      <c r="B7280"/>
    </row>
    <row r="7281" spans="1:2" x14ac:dyDescent="0.35">
      <c r="B7281"/>
    </row>
    <row r="7282" spans="1:2" x14ac:dyDescent="0.35">
      <c r="B7282"/>
    </row>
    <row r="7283" spans="1:2" x14ac:dyDescent="0.35">
      <c r="B7283"/>
    </row>
    <row r="7284" spans="1:2" x14ac:dyDescent="0.35">
      <c r="B7284"/>
    </row>
    <row r="7285" spans="1:2" x14ac:dyDescent="0.35">
      <c r="B7285"/>
    </row>
    <row r="7286" spans="1:2" ht="15.5" x14ac:dyDescent="0.35">
      <c r="A7286" s="49"/>
      <c r="B7286" s="49"/>
    </row>
    <row r="7287" spans="1:2" x14ac:dyDescent="0.35">
      <c r="B7287"/>
    </row>
    <row r="7288" spans="1:2" x14ac:dyDescent="0.35">
      <c r="B7288"/>
    </row>
    <row r="7289" spans="1:2" x14ac:dyDescent="0.35">
      <c r="B7289"/>
    </row>
    <row r="7290" spans="1:2" x14ac:dyDescent="0.35">
      <c r="B7290"/>
    </row>
    <row r="7291" spans="1:2" x14ac:dyDescent="0.35">
      <c r="B7291"/>
    </row>
    <row r="7292" spans="1:2" x14ac:dyDescent="0.35">
      <c r="B7292"/>
    </row>
    <row r="7293" spans="1:2" x14ac:dyDescent="0.35">
      <c r="B7293"/>
    </row>
    <row r="7294" spans="1:2" x14ac:dyDescent="0.35">
      <c r="B7294"/>
    </row>
    <row r="7295" spans="1:2" x14ac:dyDescent="0.35">
      <c r="B7295"/>
    </row>
    <row r="7296" spans="1:2" ht="15.5" x14ac:dyDescent="0.35">
      <c r="A7296" s="49"/>
      <c r="B7296"/>
    </row>
    <row r="7297" spans="2:2" x14ac:dyDescent="0.35">
      <c r="B7297"/>
    </row>
    <row r="7298" spans="2:2" x14ac:dyDescent="0.35">
      <c r="B7298"/>
    </row>
    <row r="7299" spans="2:2" x14ac:dyDescent="0.35">
      <c r="B7299"/>
    </row>
    <row r="7300" spans="2:2" x14ac:dyDescent="0.35">
      <c r="B7300"/>
    </row>
    <row r="7301" spans="2:2" x14ac:dyDescent="0.35">
      <c r="B7301"/>
    </row>
    <row r="7302" spans="2:2" x14ac:dyDescent="0.35">
      <c r="B7302"/>
    </row>
    <row r="7303" spans="2:2" x14ac:dyDescent="0.35">
      <c r="B7303"/>
    </row>
    <row r="7304" spans="2:2" x14ac:dyDescent="0.35">
      <c r="B7304"/>
    </row>
    <row r="7305" spans="2:2" x14ac:dyDescent="0.35">
      <c r="B7305"/>
    </row>
    <row r="7306" spans="2:2" x14ac:dyDescent="0.35">
      <c r="B7306"/>
    </row>
    <row r="7307" spans="2:2" x14ac:dyDescent="0.35">
      <c r="B7307"/>
    </row>
    <row r="7308" spans="2:2" x14ac:dyDescent="0.35">
      <c r="B7308"/>
    </row>
    <row r="7309" spans="2:2" x14ac:dyDescent="0.35">
      <c r="B7309"/>
    </row>
    <row r="7310" spans="2:2" x14ac:dyDescent="0.35">
      <c r="B7310"/>
    </row>
    <row r="7311" spans="2:2" x14ac:dyDescent="0.35">
      <c r="B7311"/>
    </row>
    <row r="7312" spans="2:2" x14ac:dyDescent="0.35">
      <c r="B7312"/>
    </row>
    <row r="7313" spans="2:2" x14ac:dyDescent="0.35">
      <c r="B7313"/>
    </row>
    <row r="7314" spans="2:2" x14ac:dyDescent="0.35">
      <c r="B7314"/>
    </row>
    <row r="7315" spans="2:2" x14ac:dyDescent="0.35">
      <c r="B7315"/>
    </row>
    <row r="7316" spans="2:2" x14ac:dyDescent="0.35">
      <c r="B7316"/>
    </row>
    <row r="7317" spans="2:2" x14ac:dyDescent="0.35">
      <c r="B7317"/>
    </row>
    <row r="7318" spans="2:2" x14ac:dyDescent="0.35">
      <c r="B7318"/>
    </row>
    <row r="7319" spans="2:2" x14ac:dyDescent="0.35">
      <c r="B7319"/>
    </row>
    <row r="7320" spans="2:2" x14ac:dyDescent="0.35">
      <c r="B7320"/>
    </row>
    <row r="7321" spans="2:2" x14ac:dyDescent="0.35">
      <c r="B7321"/>
    </row>
    <row r="7322" spans="2:2" x14ac:dyDescent="0.35">
      <c r="B7322"/>
    </row>
    <row r="7323" spans="2:2" x14ac:dyDescent="0.35">
      <c r="B7323"/>
    </row>
    <row r="7324" spans="2:2" x14ac:dyDescent="0.35">
      <c r="B7324"/>
    </row>
    <row r="7325" spans="2:2" x14ac:dyDescent="0.35">
      <c r="B7325"/>
    </row>
    <row r="7326" spans="2:2" x14ac:dyDescent="0.35">
      <c r="B7326"/>
    </row>
    <row r="7327" spans="2:2" x14ac:dyDescent="0.35">
      <c r="B7327"/>
    </row>
    <row r="7328" spans="2:2" x14ac:dyDescent="0.35">
      <c r="B7328"/>
    </row>
    <row r="7329" spans="1:2" x14ac:dyDescent="0.35">
      <c r="B7329"/>
    </row>
    <row r="7330" spans="1:2" x14ac:dyDescent="0.35">
      <c r="B7330"/>
    </row>
    <row r="7331" spans="1:2" x14ac:dyDescent="0.35">
      <c r="B7331"/>
    </row>
    <row r="7332" spans="1:2" x14ac:dyDescent="0.35">
      <c r="B7332"/>
    </row>
    <row r="7333" spans="1:2" x14ac:dyDescent="0.35">
      <c r="B7333"/>
    </row>
    <row r="7334" spans="1:2" x14ac:dyDescent="0.35">
      <c r="B7334"/>
    </row>
    <row r="7335" spans="1:2" x14ac:dyDescent="0.35">
      <c r="B7335"/>
    </row>
    <row r="7336" spans="1:2" ht="15.5" x14ac:dyDescent="0.35">
      <c r="A7336" s="49"/>
      <c r="B7336" s="49"/>
    </row>
    <row r="7337" spans="1:2" x14ac:dyDescent="0.35">
      <c r="B7337"/>
    </row>
    <row r="7338" spans="1:2" x14ac:dyDescent="0.35">
      <c r="B7338"/>
    </row>
    <row r="7339" spans="1:2" x14ac:dyDescent="0.35">
      <c r="B7339"/>
    </row>
    <row r="7340" spans="1:2" x14ac:dyDescent="0.35">
      <c r="B7340"/>
    </row>
    <row r="7341" spans="1:2" x14ac:dyDescent="0.35">
      <c r="B7341"/>
    </row>
    <row r="7342" spans="1:2" x14ac:dyDescent="0.35">
      <c r="B7342"/>
    </row>
    <row r="7343" spans="1:2" x14ac:dyDescent="0.35">
      <c r="B7343"/>
    </row>
    <row r="7344" spans="1:2" x14ac:dyDescent="0.35">
      <c r="B7344"/>
    </row>
    <row r="7345" spans="1:2" x14ac:dyDescent="0.35">
      <c r="B7345"/>
    </row>
    <row r="7346" spans="1:2" ht="15.5" x14ac:dyDescent="0.35">
      <c r="A7346" s="49"/>
      <c r="B7346"/>
    </row>
    <row r="7347" spans="1:2" x14ac:dyDescent="0.35">
      <c r="B7347"/>
    </row>
    <row r="7348" spans="1:2" x14ac:dyDescent="0.35">
      <c r="B7348"/>
    </row>
    <row r="7349" spans="1:2" x14ac:dyDescent="0.35">
      <c r="B7349"/>
    </row>
    <row r="7350" spans="1:2" x14ac:dyDescent="0.35">
      <c r="B7350"/>
    </row>
    <row r="7351" spans="1:2" x14ac:dyDescent="0.35">
      <c r="B7351"/>
    </row>
    <row r="7352" spans="1:2" x14ac:dyDescent="0.35">
      <c r="B7352"/>
    </row>
    <row r="7353" spans="1:2" x14ac:dyDescent="0.35">
      <c r="B7353"/>
    </row>
    <row r="7354" spans="1:2" x14ac:dyDescent="0.35">
      <c r="B7354"/>
    </row>
    <row r="7355" spans="1:2" x14ac:dyDescent="0.35">
      <c r="B7355"/>
    </row>
    <row r="7356" spans="1:2" ht="15.5" x14ac:dyDescent="0.35">
      <c r="A7356" s="49"/>
      <c r="B7356" s="49"/>
    </row>
    <row r="7357" spans="1:2" x14ac:dyDescent="0.35">
      <c r="B7357"/>
    </row>
    <row r="7358" spans="1:2" x14ac:dyDescent="0.35">
      <c r="B7358"/>
    </row>
    <row r="7359" spans="1:2" x14ac:dyDescent="0.35">
      <c r="B7359"/>
    </row>
    <row r="7360" spans="1:2" x14ac:dyDescent="0.35">
      <c r="B7360"/>
    </row>
    <row r="7361" spans="1:2" x14ac:dyDescent="0.35">
      <c r="B7361"/>
    </row>
    <row r="7362" spans="1:2" x14ac:dyDescent="0.35">
      <c r="B7362"/>
    </row>
    <row r="7363" spans="1:2" x14ac:dyDescent="0.35">
      <c r="B7363"/>
    </row>
    <row r="7364" spans="1:2" x14ac:dyDescent="0.35">
      <c r="B7364"/>
    </row>
    <row r="7365" spans="1:2" x14ac:dyDescent="0.35">
      <c r="B7365"/>
    </row>
    <row r="7366" spans="1:2" ht="15.5" x14ac:dyDescent="0.35">
      <c r="A7366" s="49"/>
      <c r="B7366"/>
    </row>
    <row r="7367" spans="1:2" x14ac:dyDescent="0.35">
      <c r="B7367"/>
    </row>
    <row r="7368" spans="1:2" x14ac:dyDescent="0.35">
      <c r="B7368"/>
    </row>
    <row r="7369" spans="1:2" x14ac:dyDescent="0.35">
      <c r="B7369"/>
    </row>
    <row r="7370" spans="1:2" x14ac:dyDescent="0.35">
      <c r="B7370"/>
    </row>
    <row r="7371" spans="1:2" x14ac:dyDescent="0.35">
      <c r="B7371"/>
    </row>
    <row r="7372" spans="1:2" x14ac:dyDescent="0.35">
      <c r="B7372"/>
    </row>
    <row r="7373" spans="1:2" ht="15.5" x14ac:dyDescent="0.35">
      <c r="A7373" s="49"/>
      <c r="B7373" s="49"/>
    </row>
    <row r="7374" spans="1:2" x14ac:dyDescent="0.35">
      <c r="B7374"/>
    </row>
    <row r="7375" spans="1:2" x14ac:dyDescent="0.35">
      <c r="B7375"/>
    </row>
    <row r="7376" spans="1:2" x14ac:dyDescent="0.35">
      <c r="B7376"/>
    </row>
    <row r="7377" spans="1:2" x14ac:dyDescent="0.35">
      <c r="B7377"/>
    </row>
    <row r="7378" spans="1:2" x14ac:dyDescent="0.35">
      <c r="B7378"/>
    </row>
    <row r="7379" spans="1:2" x14ac:dyDescent="0.35">
      <c r="B7379"/>
    </row>
    <row r="7380" spans="1:2" x14ac:dyDescent="0.35">
      <c r="B7380"/>
    </row>
    <row r="7381" spans="1:2" x14ac:dyDescent="0.35">
      <c r="B7381"/>
    </row>
    <row r="7382" spans="1:2" x14ac:dyDescent="0.35">
      <c r="B7382"/>
    </row>
    <row r="7383" spans="1:2" ht="15.5" x14ac:dyDescent="0.35">
      <c r="A7383" s="49"/>
      <c r="B7383"/>
    </row>
    <row r="7384" spans="1:2" x14ac:dyDescent="0.35">
      <c r="B7384"/>
    </row>
    <row r="7385" spans="1:2" x14ac:dyDescent="0.35">
      <c r="B7385"/>
    </row>
    <row r="7386" spans="1:2" x14ac:dyDescent="0.35">
      <c r="B7386"/>
    </row>
    <row r="7387" spans="1:2" x14ac:dyDescent="0.35">
      <c r="B7387"/>
    </row>
    <row r="7388" spans="1:2" x14ac:dyDescent="0.35">
      <c r="B7388"/>
    </row>
    <row r="7389" spans="1:2" x14ac:dyDescent="0.35">
      <c r="B7389"/>
    </row>
    <row r="7390" spans="1:2" x14ac:dyDescent="0.35">
      <c r="B7390"/>
    </row>
    <row r="7391" spans="1:2" x14ac:dyDescent="0.35">
      <c r="B7391"/>
    </row>
    <row r="7392" spans="1:2" x14ac:dyDescent="0.35">
      <c r="B7392"/>
    </row>
    <row r="7393" spans="2:2" x14ac:dyDescent="0.35">
      <c r="B7393"/>
    </row>
    <row r="7394" spans="2:2" x14ac:dyDescent="0.35">
      <c r="B7394"/>
    </row>
    <row r="7395" spans="2:2" x14ac:dyDescent="0.35">
      <c r="B7395"/>
    </row>
    <row r="7396" spans="2:2" x14ac:dyDescent="0.35">
      <c r="B7396"/>
    </row>
    <row r="7397" spans="2:2" x14ac:dyDescent="0.35">
      <c r="B7397"/>
    </row>
    <row r="7398" spans="2:2" x14ac:dyDescent="0.35">
      <c r="B7398"/>
    </row>
    <row r="7399" spans="2:2" x14ac:dyDescent="0.35">
      <c r="B7399"/>
    </row>
    <row r="7400" spans="2:2" x14ac:dyDescent="0.35">
      <c r="B7400"/>
    </row>
    <row r="7401" spans="2:2" x14ac:dyDescent="0.35">
      <c r="B7401"/>
    </row>
    <row r="7402" spans="2:2" x14ac:dyDescent="0.35">
      <c r="B7402"/>
    </row>
    <row r="7403" spans="2:2" x14ac:dyDescent="0.35">
      <c r="B7403"/>
    </row>
    <row r="7404" spans="2:2" x14ac:dyDescent="0.35">
      <c r="B7404"/>
    </row>
    <row r="7405" spans="2:2" x14ac:dyDescent="0.35">
      <c r="B7405"/>
    </row>
    <row r="7406" spans="2:2" x14ac:dyDescent="0.35">
      <c r="B7406"/>
    </row>
    <row r="7407" spans="2:2" x14ac:dyDescent="0.35">
      <c r="B7407"/>
    </row>
    <row r="7408" spans="2:2" x14ac:dyDescent="0.35">
      <c r="B7408"/>
    </row>
    <row r="7409" spans="2:2" x14ac:dyDescent="0.35">
      <c r="B7409"/>
    </row>
    <row r="7410" spans="2:2" x14ac:dyDescent="0.35">
      <c r="B7410"/>
    </row>
    <row r="7411" spans="2:2" x14ac:dyDescent="0.35">
      <c r="B7411"/>
    </row>
    <row r="7412" spans="2:2" x14ac:dyDescent="0.35">
      <c r="B7412"/>
    </row>
    <row r="7413" spans="2:2" x14ac:dyDescent="0.35">
      <c r="B7413"/>
    </row>
    <row r="7414" spans="2:2" x14ac:dyDescent="0.35">
      <c r="B7414"/>
    </row>
    <row r="7415" spans="2:2" x14ac:dyDescent="0.35">
      <c r="B7415"/>
    </row>
    <row r="7416" spans="2:2" x14ac:dyDescent="0.35">
      <c r="B7416"/>
    </row>
    <row r="7417" spans="2:2" x14ac:dyDescent="0.35">
      <c r="B7417"/>
    </row>
    <row r="7418" spans="2:2" x14ac:dyDescent="0.35">
      <c r="B7418"/>
    </row>
    <row r="7419" spans="2:2" x14ac:dyDescent="0.35">
      <c r="B7419"/>
    </row>
    <row r="7420" spans="2:2" x14ac:dyDescent="0.35">
      <c r="B7420"/>
    </row>
    <row r="7421" spans="2:2" x14ac:dyDescent="0.35">
      <c r="B7421"/>
    </row>
    <row r="7422" spans="2:2" x14ac:dyDescent="0.35">
      <c r="B7422"/>
    </row>
    <row r="7423" spans="2:2" x14ac:dyDescent="0.35">
      <c r="B7423"/>
    </row>
    <row r="7424" spans="2:2" x14ac:dyDescent="0.35">
      <c r="B7424"/>
    </row>
    <row r="7425" spans="2:2" x14ac:dyDescent="0.35">
      <c r="B7425"/>
    </row>
    <row r="7426" spans="2:2" x14ac:dyDescent="0.35">
      <c r="B7426"/>
    </row>
    <row r="7427" spans="2:2" x14ac:dyDescent="0.35">
      <c r="B7427"/>
    </row>
    <row r="7428" spans="2:2" x14ac:dyDescent="0.35">
      <c r="B7428"/>
    </row>
    <row r="7429" spans="2:2" x14ac:dyDescent="0.35">
      <c r="B7429"/>
    </row>
    <row r="7430" spans="2:2" x14ac:dyDescent="0.35">
      <c r="B7430"/>
    </row>
    <row r="7431" spans="2:2" x14ac:dyDescent="0.35">
      <c r="B7431"/>
    </row>
    <row r="7432" spans="2:2" x14ac:dyDescent="0.35">
      <c r="B7432"/>
    </row>
    <row r="7433" spans="2:2" x14ac:dyDescent="0.35">
      <c r="B7433"/>
    </row>
    <row r="7434" spans="2:2" x14ac:dyDescent="0.35">
      <c r="B7434"/>
    </row>
    <row r="7435" spans="2:2" x14ac:dyDescent="0.35">
      <c r="B7435"/>
    </row>
    <row r="7436" spans="2:2" x14ac:dyDescent="0.35">
      <c r="B7436"/>
    </row>
    <row r="7437" spans="2:2" x14ac:dyDescent="0.35">
      <c r="B7437"/>
    </row>
    <row r="7438" spans="2:2" x14ac:dyDescent="0.35">
      <c r="B7438"/>
    </row>
    <row r="7439" spans="2:2" x14ac:dyDescent="0.35">
      <c r="B7439"/>
    </row>
    <row r="7440" spans="2:2" x14ac:dyDescent="0.35">
      <c r="B7440"/>
    </row>
    <row r="7441" spans="1:2" x14ac:dyDescent="0.35">
      <c r="B7441"/>
    </row>
    <row r="7442" spans="1:2" x14ac:dyDescent="0.35">
      <c r="B7442"/>
    </row>
    <row r="7443" spans="1:2" x14ac:dyDescent="0.35">
      <c r="B7443"/>
    </row>
    <row r="7444" spans="1:2" ht="15.5" x14ac:dyDescent="0.35">
      <c r="A7444" s="49"/>
      <c r="B7444" s="49"/>
    </row>
    <row r="7445" spans="1:2" x14ac:dyDescent="0.35">
      <c r="B7445"/>
    </row>
    <row r="7446" spans="1:2" x14ac:dyDescent="0.35">
      <c r="B7446"/>
    </row>
    <row r="7447" spans="1:2" x14ac:dyDescent="0.35">
      <c r="B7447"/>
    </row>
    <row r="7448" spans="1:2" x14ac:dyDescent="0.35">
      <c r="B7448"/>
    </row>
    <row r="7449" spans="1:2" x14ac:dyDescent="0.35">
      <c r="B7449"/>
    </row>
    <row r="7450" spans="1:2" x14ac:dyDescent="0.35">
      <c r="B7450"/>
    </row>
    <row r="7451" spans="1:2" x14ac:dyDescent="0.35">
      <c r="B7451"/>
    </row>
    <row r="7452" spans="1:2" x14ac:dyDescent="0.35">
      <c r="B7452"/>
    </row>
    <row r="7453" spans="1:2" x14ac:dyDescent="0.35">
      <c r="B7453"/>
    </row>
    <row r="7454" spans="1:2" ht="15.5" x14ac:dyDescent="0.35">
      <c r="A7454" s="49"/>
      <c r="B7454"/>
    </row>
    <row r="7455" spans="1:2" x14ac:dyDescent="0.35">
      <c r="B7455"/>
    </row>
    <row r="7456" spans="1:2" x14ac:dyDescent="0.35">
      <c r="B7456"/>
    </row>
    <row r="7457" spans="1:2" x14ac:dyDescent="0.35">
      <c r="B7457"/>
    </row>
    <row r="7458" spans="1:2" x14ac:dyDescent="0.35">
      <c r="B7458"/>
    </row>
    <row r="7459" spans="1:2" x14ac:dyDescent="0.35">
      <c r="B7459"/>
    </row>
    <row r="7460" spans="1:2" x14ac:dyDescent="0.35">
      <c r="B7460"/>
    </row>
    <row r="7461" spans="1:2" ht="15.5" x14ac:dyDescent="0.35">
      <c r="A7461" s="49"/>
      <c r="B7461" s="49"/>
    </row>
    <row r="7462" spans="1:2" x14ac:dyDescent="0.35">
      <c r="B7462"/>
    </row>
    <row r="7463" spans="1:2" x14ac:dyDescent="0.35">
      <c r="B7463"/>
    </row>
    <row r="7464" spans="1:2" x14ac:dyDescent="0.35">
      <c r="B7464"/>
    </row>
    <row r="7465" spans="1:2" x14ac:dyDescent="0.35">
      <c r="B7465"/>
    </row>
    <row r="7466" spans="1:2" x14ac:dyDescent="0.35">
      <c r="B7466"/>
    </row>
    <row r="7467" spans="1:2" x14ac:dyDescent="0.35">
      <c r="B7467"/>
    </row>
    <row r="7468" spans="1:2" x14ac:dyDescent="0.35">
      <c r="B7468"/>
    </row>
    <row r="7469" spans="1:2" x14ac:dyDescent="0.35">
      <c r="B7469"/>
    </row>
    <row r="7470" spans="1:2" x14ac:dyDescent="0.35">
      <c r="B7470"/>
    </row>
    <row r="7471" spans="1:2" ht="15.5" x14ac:dyDescent="0.35">
      <c r="A7471" s="49"/>
      <c r="B7471"/>
    </row>
    <row r="7472" spans="1:2" x14ac:dyDescent="0.35">
      <c r="B7472"/>
    </row>
    <row r="7473" spans="1:2" x14ac:dyDescent="0.35">
      <c r="B7473"/>
    </row>
    <row r="7474" spans="1:2" x14ac:dyDescent="0.35">
      <c r="B7474"/>
    </row>
    <row r="7475" spans="1:2" x14ac:dyDescent="0.35">
      <c r="B7475"/>
    </row>
    <row r="7476" spans="1:2" x14ac:dyDescent="0.35">
      <c r="B7476"/>
    </row>
    <row r="7477" spans="1:2" x14ac:dyDescent="0.35">
      <c r="B7477"/>
    </row>
    <row r="7478" spans="1:2" x14ac:dyDescent="0.35">
      <c r="B7478"/>
    </row>
    <row r="7479" spans="1:2" x14ac:dyDescent="0.35">
      <c r="B7479"/>
    </row>
    <row r="7480" spans="1:2" ht="15.5" x14ac:dyDescent="0.35">
      <c r="A7480" s="49"/>
      <c r="B7480" s="49"/>
    </row>
    <row r="7481" spans="1:2" x14ac:dyDescent="0.35">
      <c r="B7481"/>
    </row>
    <row r="7482" spans="1:2" x14ac:dyDescent="0.35">
      <c r="B7482"/>
    </row>
    <row r="7483" spans="1:2" x14ac:dyDescent="0.35">
      <c r="B7483"/>
    </row>
    <row r="7484" spans="1:2" x14ac:dyDescent="0.35">
      <c r="B7484"/>
    </row>
    <row r="7485" spans="1:2" x14ac:dyDescent="0.35">
      <c r="B7485"/>
    </row>
    <row r="7486" spans="1:2" x14ac:dyDescent="0.35">
      <c r="B7486"/>
    </row>
    <row r="7487" spans="1:2" x14ac:dyDescent="0.35">
      <c r="B7487"/>
    </row>
    <row r="7488" spans="1:2" x14ac:dyDescent="0.35">
      <c r="B7488"/>
    </row>
    <row r="7489" spans="1:2" x14ac:dyDescent="0.35">
      <c r="B7489"/>
    </row>
    <row r="7490" spans="1:2" ht="15.5" x14ac:dyDescent="0.35">
      <c r="A7490" s="49"/>
      <c r="B7490"/>
    </row>
    <row r="7491" spans="1:2" x14ac:dyDescent="0.35">
      <c r="B7491"/>
    </row>
    <row r="7492" spans="1:2" x14ac:dyDescent="0.35">
      <c r="B7492"/>
    </row>
    <row r="7493" spans="1:2" x14ac:dyDescent="0.35">
      <c r="B7493"/>
    </row>
    <row r="7494" spans="1:2" x14ac:dyDescent="0.35">
      <c r="B7494"/>
    </row>
    <row r="7495" spans="1:2" x14ac:dyDescent="0.35">
      <c r="B7495"/>
    </row>
    <row r="7496" spans="1:2" x14ac:dyDescent="0.35">
      <c r="B7496"/>
    </row>
    <row r="7497" spans="1:2" x14ac:dyDescent="0.35">
      <c r="B7497"/>
    </row>
    <row r="7498" spans="1:2" ht="15.5" x14ac:dyDescent="0.35">
      <c r="A7498" s="49"/>
      <c r="B7498" s="49"/>
    </row>
    <row r="7499" spans="1:2" x14ac:dyDescent="0.35">
      <c r="B7499"/>
    </row>
    <row r="7500" spans="1:2" x14ac:dyDescent="0.35">
      <c r="B7500"/>
    </row>
    <row r="7501" spans="1:2" x14ac:dyDescent="0.35">
      <c r="B7501"/>
    </row>
    <row r="7502" spans="1:2" x14ac:dyDescent="0.35">
      <c r="B7502"/>
    </row>
    <row r="7503" spans="1:2" x14ac:dyDescent="0.35">
      <c r="B7503"/>
    </row>
    <row r="7504" spans="1:2" x14ac:dyDescent="0.35">
      <c r="B7504"/>
    </row>
    <row r="7505" spans="1:2" x14ac:dyDescent="0.35">
      <c r="B7505"/>
    </row>
    <row r="7506" spans="1:2" x14ac:dyDescent="0.35">
      <c r="B7506"/>
    </row>
    <row r="7507" spans="1:2" x14ac:dyDescent="0.35">
      <c r="B7507"/>
    </row>
    <row r="7508" spans="1:2" ht="15.5" x14ac:dyDescent="0.35">
      <c r="A7508" s="49"/>
      <c r="B7508"/>
    </row>
    <row r="7509" spans="1:2" x14ac:dyDescent="0.35">
      <c r="B7509"/>
    </row>
    <row r="7510" spans="1:2" x14ac:dyDescent="0.35">
      <c r="B7510"/>
    </row>
    <row r="7511" spans="1:2" x14ac:dyDescent="0.35">
      <c r="B7511"/>
    </row>
    <row r="7512" spans="1:2" x14ac:dyDescent="0.35">
      <c r="B7512"/>
    </row>
    <row r="7513" spans="1:2" x14ac:dyDescent="0.35">
      <c r="B7513"/>
    </row>
    <row r="7514" spans="1:2" x14ac:dyDescent="0.35">
      <c r="B7514"/>
    </row>
    <row r="7515" spans="1:2" x14ac:dyDescent="0.35">
      <c r="B7515"/>
    </row>
    <row r="7516" spans="1:2" x14ac:dyDescent="0.35">
      <c r="B7516"/>
    </row>
    <row r="7517" spans="1:2" ht="15.5" x14ac:dyDescent="0.35">
      <c r="A7517" s="49"/>
      <c r="B7517" s="49"/>
    </row>
    <row r="7518" spans="1:2" x14ac:dyDescent="0.35">
      <c r="B7518"/>
    </row>
    <row r="7519" spans="1:2" x14ac:dyDescent="0.35">
      <c r="B7519"/>
    </row>
    <row r="7520" spans="1:2" x14ac:dyDescent="0.35">
      <c r="B7520"/>
    </row>
    <row r="7521" spans="1:2" x14ac:dyDescent="0.35">
      <c r="B7521"/>
    </row>
    <row r="7522" spans="1:2" x14ac:dyDescent="0.35">
      <c r="B7522"/>
    </row>
    <row r="7523" spans="1:2" x14ac:dyDescent="0.35">
      <c r="B7523"/>
    </row>
    <row r="7524" spans="1:2" x14ac:dyDescent="0.35">
      <c r="B7524"/>
    </row>
    <row r="7525" spans="1:2" x14ac:dyDescent="0.35">
      <c r="B7525"/>
    </row>
    <row r="7526" spans="1:2" x14ac:dyDescent="0.35">
      <c r="B7526"/>
    </row>
    <row r="7527" spans="1:2" ht="15.5" x14ac:dyDescent="0.35">
      <c r="A7527" s="49"/>
      <c r="B7527"/>
    </row>
    <row r="7528" spans="1:2" x14ac:dyDescent="0.35">
      <c r="B7528"/>
    </row>
    <row r="7529" spans="1:2" x14ac:dyDescent="0.35">
      <c r="B7529"/>
    </row>
    <row r="7530" spans="1:2" x14ac:dyDescent="0.35">
      <c r="B7530"/>
    </row>
    <row r="7531" spans="1:2" x14ac:dyDescent="0.35">
      <c r="B7531"/>
    </row>
    <row r="7532" spans="1:2" x14ac:dyDescent="0.35">
      <c r="B7532"/>
    </row>
    <row r="7533" spans="1:2" x14ac:dyDescent="0.35">
      <c r="B7533"/>
    </row>
    <row r="7534" spans="1:2" x14ac:dyDescent="0.35">
      <c r="B7534"/>
    </row>
    <row r="7535" spans="1:2" x14ac:dyDescent="0.35">
      <c r="B7535"/>
    </row>
    <row r="7536" spans="1:2" x14ac:dyDescent="0.35">
      <c r="B7536"/>
    </row>
    <row r="7537" spans="2:2" x14ac:dyDescent="0.35">
      <c r="B7537"/>
    </row>
    <row r="7538" spans="2:2" x14ac:dyDescent="0.35">
      <c r="B7538"/>
    </row>
    <row r="7539" spans="2:2" x14ac:dyDescent="0.35">
      <c r="B7539"/>
    </row>
    <row r="7540" spans="2:2" x14ac:dyDescent="0.35">
      <c r="B7540"/>
    </row>
    <row r="7541" spans="2:2" x14ac:dyDescent="0.35">
      <c r="B7541"/>
    </row>
    <row r="7542" spans="2:2" x14ac:dyDescent="0.35">
      <c r="B7542"/>
    </row>
    <row r="7543" spans="2:2" x14ac:dyDescent="0.35">
      <c r="B7543"/>
    </row>
    <row r="7544" spans="2:2" x14ac:dyDescent="0.35">
      <c r="B7544"/>
    </row>
    <row r="7545" spans="2:2" x14ac:dyDescent="0.35">
      <c r="B7545"/>
    </row>
    <row r="7546" spans="2:2" x14ac:dyDescent="0.35">
      <c r="B7546"/>
    </row>
    <row r="7547" spans="2:2" x14ac:dyDescent="0.35">
      <c r="B7547"/>
    </row>
    <row r="7548" spans="2:2" x14ac:dyDescent="0.35">
      <c r="B7548"/>
    </row>
    <row r="7549" spans="2:2" x14ac:dyDescent="0.35">
      <c r="B7549"/>
    </row>
    <row r="7550" spans="2:2" x14ac:dyDescent="0.35">
      <c r="B7550"/>
    </row>
    <row r="7551" spans="2:2" x14ac:dyDescent="0.35">
      <c r="B7551"/>
    </row>
    <row r="7552" spans="2:2" x14ac:dyDescent="0.35">
      <c r="B7552"/>
    </row>
    <row r="7553" spans="2:2" x14ac:dyDescent="0.35">
      <c r="B7553"/>
    </row>
    <row r="7554" spans="2:2" x14ac:dyDescent="0.35">
      <c r="B7554"/>
    </row>
    <row r="7555" spans="2:2" x14ac:dyDescent="0.35">
      <c r="B7555"/>
    </row>
    <row r="7556" spans="2:2" x14ac:dyDescent="0.35">
      <c r="B7556"/>
    </row>
    <row r="7557" spans="2:2" x14ac:dyDescent="0.35">
      <c r="B7557"/>
    </row>
    <row r="7558" spans="2:2" x14ac:dyDescent="0.35">
      <c r="B7558"/>
    </row>
    <row r="7559" spans="2:2" x14ac:dyDescent="0.35">
      <c r="B7559"/>
    </row>
    <row r="7560" spans="2:2" x14ac:dyDescent="0.35">
      <c r="B7560"/>
    </row>
    <row r="7561" spans="2:2" x14ac:dyDescent="0.35">
      <c r="B7561"/>
    </row>
    <row r="7562" spans="2:2" x14ac:dyDescent="0.35">
      <c r="B7562"/>
    </row>
    <row r="7563" spans="2:2" x14ac:dyDescent="0.35">
      <c r="B7563"/>
    </row>
    <row r="7564" spans="2:2" x14ac:dyDescent="0.35">
      <c r="B7564"/>
    </row>
    <row r="7565" spans="2:2" x14ac:dyDescent="0.35">
      <c r="B7565"/>
    </row>
    <row r="7566" spans="2:2" x14ac:dyDescent="0.35">
      <c r="B7566"/>
    </row>
    <row r="7567" spans="2:2" x14ac:dyDescent="0.35">
      <c r="B7567"/>
    </row>
    <row r="7568" spans="2:2" x14ac:dyDescent="0.35">
      <c r="B7568"/>
    </row>
    <row r="7569" spans="1:2" x14ac:dyDescent="0.35">
      <c r="B7569"/>
    </row>
    <row r="7570" spans="1:2" x14ac:dyDescent="0.35">
      <c r="B7570"/>
    </row>
    <row r="7571" spans="1:2" ht="15.5" x14ac:dyDescent="0.35">
      <c r="A7571" s="49"/>
      <c r="B7571" s="49"/>
    </row>
    <row r="7572" spans="1:2" x14ac:dyDescent="0.35">
      <c r="B7572"/>
    </row>
    <row r="7573" spans="1:2" x14ac:dyDescent="0.35">
      <c r="B7573"/>
    </row>
    <row r="7574" spans="1:2" x14ac:dyDescent="0.35">
      <c r="B7574"/>
    </row>
    <row r="7575" spans="1:2" x14ac:dyDescent="0.35">
      <c r="B7575"/>
    </row>
    <row r="7576" spans="1:2" x14ac:dyDescent="0.35">
      <c r="B7576"/>
    </row>
    <row r="7577" spans="1:2" x14ac:dyDescent="0.35">
      <c r="B7577"/>
    </row>
    <row r="7578" spans="1:2" x14ac:dyDescent="0.35">
      <c r="B7578"/>
    </row>
    <row r="7579" spans="1:2" x14ac:dyDescent="0.35">
      <c r="B7579"/>
    </row>
    <row r="7580" spans="1:2" x14ac:dyDescent="0.35">
      <c r="B7580"/>
    </row>
    <row r="7581" spans="1:2" ht="15.5" x14ac:dyDescent="0.35">
      <c r="A7581" s="49"/>
      <c r="B7581"/>
    </row>
    <row r="7582" spans="1:2" x14ac:dyDescent="0.35">
      <c r="B7582"/>
    </row>
    <row r="7583" spans="1:2" x14ac:dyDescent="0.35">
      <c r="B7583"/>
    </row>
    <row r="7584" spans="1:2" x14ac:dyDescent="0.35">
      <c r="B7584"/>
    </row>
    <row r="7585" spans="1:2" x14ac:dyDescent="0.35">
      <c r="B7585"/>
    </row>
    <row r="7586" spans="1:2" x14ac:dyDescent="0.35">
      <c r="B7586"/>
    </row>
    <row r="7587" spans="1:2" x14ac:dyDescent="0.35">
      <c r="B7587"/>
    </row>
    <row r="7588" spans="1:2" x14ac:dyDescent="0.35">
      <c r="B7588"/>
    </row>
    <row r="7589" spans="1:2" x14ac:dyDescent="0.35">
      <c r="B7589"/>
    </row>
    <row r="7590" spans="1:2" ht="15.5" x14ac:dyDescent="0.35">
      <c r="A7590" s="49"/>
      <c r="B7590" s="49"/>
    </row>
    <row r="7591" spans="1:2" x14ac:dyDescent="0.35">
      <c r="B7591"/>
    </row>
    <row r="7592" spans="1:2" x14ac:dyDescent="0.35">
      <c r="B7592"/>
    </row>
    <row r="7593" spans="1:2" x14ac:dyDescent="0.35">
      <c r="B7593"/>
    </row>
    <row r="7594" spans="1:2" x14ac:dyDescent="0.35">
      <c r="B7594"/>
    </row>
    <row r="7595" spans="1:2" x14ac:dyDescent="0.35">
      <c r="B7595"/>
    </row>
    <row r="7596" spans="1:2" x14ac:dyDescent="0.35">
      <c r="B7596"/>
    </row>
    <row r="7597" spans="1:2" x14ac:dyDescent="0.35">
      <c r="B7597"/>
    </row>
    <row r="7598" spans="1:2" x14ac:dyDescent="0.35">
      <c r="B7598"/>
    </row>
    <row r="7599" spans="1:2" x14ac:dyDescent="0.35">
      <c r="B7599"/>
    </row>
    <row r="7600" spans="1:2" ht="15.5" x14ac:dyDescent="0.35">
      <c r="A7600" s="49"/>
      <c r="B7600"/>
    </row>
    <row r="7601" spans="1:2" x14ac:dyDescent="0.35">
      <c r="B7601"/>
    </row>
    <row r="7602" spans="1:2" x14ac:dyDescent="0.35">
      <c r="B7602"/>
    </row>
    <row r="7603" spans="1:2" x14ac:dyDescent="0.35">
      <c r="B7603"/>
    </row>
    <row r="7604" spans="1:2" x14ac:dyDescent="0.35">
      <c r="B7604"/>
    </row>
    <row r="7605" spans="1:2" x14ac:dyDescent="0.35">
      <c r="B7605"/>
    </row>
    <row r="7606" spans="1:2" x14ac:dyDescent="0.35">
      <c r="B7606"/>
    </row>
    <row r="7607" spans="1:2" x14ac:dyDescent="0.35">
      <c r="B7607"/>
    </row>
    <row r="7608" spans="1:2" ht="15.5" x14ac:dyDescent="0.35">
      <c r="A7608" s="49"/>
      <c r="B7608" s="49"/>
    </row>
    <row r="7609" spans="1:2" x14ac:dyDescent="0.35">
      <c r="B7609"/>
    </row>
    <row r="7610" spans="1:2" x14ac:dyDescent="0.35">
      <c r="B7610"/>
    </row>
    <row r="7611" spans="1:2" x14ac:dyDescent="0.35">
      <c r="B7611"/>
    </row>
    <row r="7612" spans="1:2" x14ac:dyDescent="0.35">
      <c r="B7612"/>
    </row>
    <row r="7613" spans="1:2" x14ac:dyDescent="0.35">
      <c r="B7613"/>
    </row>
    <row r="7614" spans="1:2" x14ac:dyDescent="0.35">
      <c r="B7614"/>
    </row>
    <row r="7615" spans="1:2" x14ac:dyDescent="0.35">
      <c r="B7615"/>
    </row>
    <row r="7616" spans="1:2" x14ac:dyDescent="0.35">
      <c r="B7616"/>
    </row>
    <row r="7617" spans="1:2" x14ac:dyDescent="0.35">
      <c r="B7617"/>
    </row>
    <row r="7618" spans="1:2" ht="15.5" x14ac:dyDescent="0.35">
      <c r="A7618" s="49"/>
      <c r="B7618"/>
    </row>
    <row r="7619" spans="1:2" x14ac:dyDescent="0.35">
      <c r="B7619"/>
    </row>
    <row r="7620" spans="1:2" x14ac:dyDescent="0.35">
      <c r="B7620"/>
    </row>
    <row r="7621" spans="1:2" x14ac:dyDescent="0.35">
      <c r="B7621"/>
    </row>
    <row r="7622" spans="1:2" x14ac:dyDescent="0.35">
      <c r="B7622"/>
    </row>
    <row r="7623" spans="1:2" x14ac:dyDescent="0.35">
      <c r="B7623"/>
    </row>
    <row r="7624" spans="1:2" x14ac:dyDescent="0.35">
      <c r="B7624"/>
    </row>
    <row r="7625" spans="1:2" x14ac:dyDescent="0.35">
      <c r="B7625"/>
    </row>
    <row r="7626" spans="1:2" x14ac:dyDescent="0.35">
      <c r="B7626"/>
    </row>
    <row r="7627" spans="1:2" ht="15.5" x14ac:dyDescent="0.35">
      <c r="A7627" s="49"/>
      <c r="B7627" s="49"/>
    </row>
    <row r="7628" spans="1:2" x14ac:dyDescent="0.35">
      <c r="B7628"/>
    </row>
    <row r="7629" spans="1:2" x14ac:dyDescent="0.35">
      <c r="B7629"/>
    </row>
    <row r="7630" spans="1:2" x14ac:dyDescent="0.35">
      <c r="B7630"/>
    </row>
    <row r="7631" spans="1:2" x14ac:dyDescent="0.35">
      <c r="B7631"/>
    </row>
    <row r="7632" spans="1:2" x14ac:dyDescent="0.35">
      <c r="B7632"/>
    </row>
    <row r="7633" spans="1:2" x14ac:dyDescent="0.35">
      <c r="B7633"/>
    </row>
    <row r="7634" spans="1:2" x14ac:dyDescent="0.35">
      <c r="B7634"/>
    </row>
    <row r="7635" spans="1:2" x14ac:dyDescent="0.35">
      <c r="B7635"/>
    </row>
    <row r="7636" spans="1:2" x14ac:dyDescent="0.35">
      <c r="B7636"/>
    </row>
    <row r="7637" spans="1:2" ht="15.5" x14ac:dyDescent="0.35">
      <c r="A7637" s="49"/>
      <c r="B7637"/>
    </row>
    <row r="7638" spans="1:2" x14ac:dyDescent="0.35">
      <c r="B7638"/>
    </row>
    <row r="7639" spans="1:2" x14ac:dyDescent="0.35">
      <c r="B7639"/>
    </row>
    <row r="7640" spans="1:2" x14ac:dyDescent="0.35">
      <c r="B7640"/>
    </row>
    <row r="7641" spans="1:2" x14ac:dyDescent="0.35">
      <c r="B7641"/>
    </row>
    <row r="7642" spans="1:2" x14ac:dyDescent="0.35">
      <c r="B7642"/>
    </row>
    <row r="7643" spans="1:2" x14ac:dyDescent="0.35">
      <c r="B7643"/>
    </row>
    <row r="7644" spans="1:2" x14ac:dyDescent="0.35">
      <c r="B7644"/>
    </row>
    <row r="7645" spans="1:2" x14ac:dyDescent="0.35">
      <c r="B7645"/>
    </row>
    <row r="7646" spans="1:2" x14ac:dyDescent="0.35">
      <c r="B7646"/>
    </row>
    <row r="7647" spans="1:2" x14ac:dyDescent="0.35">
      <c r="B7647"/>
    </row>
    <row r="7648" spans="1:2" x14ac:dyDescent="0.35">
      <c r="B7648"/>
    </row>
    <row r="7649" spans="1:2" x14ac:dyDescent="0.35">
      <c r="B7649"/>
    </row>
    <row r="7650" spans="1:2" x14ac:dyDescent="0.35">
      <c r="B7650"/>
    </row>
    <row r="7651" spans="1:2" ht="15.5" x14ac:dyDescent="0.35">
      <c r="A7651" s="49"/>
      <c r="B7651" s="49"/>
    </row>
    <row r="7652" spans="1:2" x14ac:dyDescent="0.35">
      <c r="B7652"/>
    </row>
    <row r="7653" spans="1:2" x14ac:dyDescent="0.35">
      <c r="B7653"/>
    </row>
    <row r="7654" spans="1:2" x14ac:dyDescent="0.35">
      <c r="B7654"/>
    </row>
    <row r="7655" spans="1:2" x14ac:dyDescent="0.35">
      <c r="B7655"/>
    </row>
    <row r="7656" spans="1:2" x14ac:dyDescent="0.35">
      <c r="B7656"/>
    </row>
    <row r="7657" spans="1:2" x14ac:dyDescent="0.35">
      <c r="B7657"/>
    </row>
    <row r="7658" spans="1:2" x14ac:dyDescent="0.35">
      <c r="B7658"/>
    </row>
    <row r="7659" spans="1:2" x14ac:dyDescent="0.35">
      <c r="B7659"/>
    </row>
    <row r="7660" spans="1:2" x14ac:dyDescent="0.35">
      <c r="B7660"/>
    </row>
    <row r="7661" spans="1:2" ht="15.5" x14ac:dyDescent="0.35">
      <c r="A7661" s="49"/>
      <c r="B7661"/>
    </row>
    <row r="7662" spans="1:2" x14ac:dyDescent="0.35">
      <c r="B7662"/>
    </row>
    <row r="7663" spans="1:2" x14ac:dyDescent="0.35">
      <c r="B7663"/>
    </row>
    <row r="7664" spans="1:2" x14ac:dyDescent="0.35">
      <c r="B7664"/>
    </row>
    <row r="7665" spans="1:2" x14ac:dyDescent="0.35">
      <c r="B7665"/>
    </row>
    <row r="7666" spans="1:2" x14ac:dyDescent="0.35">
      <c r="B7666"/>
    </row>
    <row r="7667" spans="1:2" x14ac:dyDescent="0.35">
      <c r="B7667"/>
    </row>
    <row r="7668" spans="1:2" x14ac:dyDescent="0.35">
      <c r="B7668"/>
    </row>
    <row r="7669" spans="1:2" x14ac:dyDescent="0.35">
      <c r="B7669"/>
    </row>
    <row r="7670" spans="1:2" x14ac:dyDescent="0.35">
      <c r="B7670"/>
    </row>
    <row r="7671" spans="1:2" x14ac:dyDescent="0.35">
      <c r="B7671"/>
    </row>
    <row r="7672" spans="1:2" x14ac:dyDescent="0.35">
      <c r="B7672"/>
    </row>
    <row r="7673" spans="1:2" ht="15.5" x14ac:dyDescent="0.35">
      <c r="A7673" s="49"/>
      <c r="B7673" s="49"/>
    </row>
    <row r="7674" spans="1:2" x14ac:dyDescent="0.35">
      <c r="B7674"/>
    </row>
    <row r="7675" spans="1:2" x14ac:dyDescent="0.35">
      <c r="B7675"/>
    </row>
    <row r="7676" spans="1:2" x14ac:dyDescent="0.35">
      <c r="B7676"/>
    </row>
    <row r="7677" spans="1:2" x14ac:dyDescent="0.35">
      <c r="B7677"/>
    </row>
    <row r="7678" spans="1:2" x14ac:dyDescent="0.35">
      <c r="B7678"/>
    </row>
    <row r="7679" spans="1:2" x14ac:dyDescent="0.35">
      <c r="B7679"/>
    </row>
    <row r="7680" spans="1:2" x14ac:dyDescent="0.35">
      <c r="B7680"/>
    </row>
    <row r="7681" spans="1:2" x14ac:dyDescent="0.35">
      <c r="B7681"/>
    </row>
    <row r="7682" spans="1:2" x14ac:dyDescent="0.35">
      <c r="B7682"/>
    </row>
    <row r="7683" spans="1:2" ht="15.5" x14ac:dyDescent="0.35">
      <c r="A7683" s="49"/>
      <c r="B7683"/>
    </row>
    <row r="7684" spans="1:2" x14ac:dyDescent="0.35">
      <c r="B7684"/>
    </row>
    <row r="7685" spans="1:2" x14ac:dyDescent="0.35">
      <c r="B7685"/>
    </row>
    <row r="7686" spans="1:2" x14ac:dyDescent="0.35">
      <c r="B7686"/>
    </row>
    <row r="7687" spans="1:2" x14ac:dyDescent="0.35">
      <c r="B7687"/>
    </row>
    <row r="7688" spans="1:2" x14ac:dyDescent="0.35">
      <c r="B7688"/>
    </row>
    <row r="7689" spans="1:2" x14ac:dyDescent="0.35">
      <c r="B7689"/>
    </row>
    <row r="7690" spans="1:2" x14ac:dyDescent="0.35">
      <c r="B7690"/>
    </row>
    <row r="7691" spans="1:2" x14ac:dyDescent="0.35">
      <c r="B7691"/>
    </row>
    <row r="7692" spans="1:2" x14ac:dyDescent="0.35">
      <c r="B7692"/>
    </row>
    <row r="7693" spans="1:2" x14ac:dyDescent="0.35">
      <c r="B7693"/>
    </row>
    <row r="7694" spans="1:2" x14ac:dyDescent="0.35">
      <c r="B7694"/>
    </row>
    <row r="7695" spans="1:2" ht="15.5" x14ac:dyDescent="0.35">
      <c r="A7695" s="49"/>
      <c r="B7695" s="49"/>
    </row>
    <row r="7696" spans="1:2" x14ac:dyDescent="0.35">
      <c r="B7696"/>
    </row>
    <row r="7697" spans="1:2" x14ac:dyDescent="0.35">
      <c r="B7697"/>
    </row>
    <row r="7698" spans="1:2" x14ac:dyDescent="0.35">
      <c r="B7698"/>
    </row>
    <row r="7699" spans="1:2" x14ac:dyDescent="0.35">
      <c r="B7699"/>
    </row>
    <row r="7700" spans="1:2" x14ac:dyDescent="0.35">
      <c r="B7700"/>
    </row>
    <row r="7701" spans="1:2" x14ac:dyDescent="0.35">
      <c r="B7701"/>
    </row>
    <row r="7702" spans="1:2" x14ac:dyDescent="0.35">
      <c r="B7702"/>
    </row>
    <row r="7703" spans="1:2" x14ac:dyDescent="0.35">
      <c r="B7703"/>
    </row>
    <row r="7704" spans="1:2" x14ac:dyDescent="0.35">
      <c r="B7704"/>
    </row>
    <row r="7705" spans="1:2" ht="15.5" x14ac:dyDescent="0.35">
      <c r="A7705" s="49"/>
      <c r="B7705"/>
    </row>
    <row r="7706" spans="1:2" x14ac:dyDescent="0.35">
      <c r="B7706"/>
    </row>
    <row r="7707" spans="1:2" x14ac:dyDescent="0.35">
      <c r="B7707"/>
    </row>
    <row r="7708" spans="1:2" x14ac:dyDescent="0.35">
      <c r="B7708"/>
    </row>
    <row r="7709" spans="1:2" x14ac:dyDescent="0.35">
      <c r="B7709"/>
    </row>
    <row r="7710" spans="1:2" x14ac:dyDescent="0.35">
      <c r="B7710"/>
    </row>
    <row r="7711" spans="1:2" x14ac:dyDescent="0.35">
      <c r="B7711"/>
    </row>
    <row r="7712" spans="1:2" x14ac:dyDescent="0.35">
      <c r="B7712"/>
    </row>
    <row r="7713" spans="1:2" x14ac:dyDescent="0.35">
      <c r="B7713"/>
    </row>
    <row r="7714" spans="1:2" x14ac:dyDescent="0.35">
      <c r="B7714"/>
    </row>
    <row r="7715" spans="1:2" x14ac:dyDescent="0.35">
      <c r="B7715"/>
    </row>
    <row r="7716" spans="1:2" x14ac:dyDescent="0.35">
      <c r="B7716"/>
    </row>
    <row r="7717" spans="1:2" ht="15.5" x14ac:dyDescent="0.35">
      <c r="A7717" s="49"/>
      <c r="B7717" s="49"/>
    </row>
    <row r="7718" spans="1:2" x14ac:dyDescent="0.35">
      <c r="B7718"/>
    </row>
    <row r="7719" spans="1:2" x14ac:dyDescent="0.35">
      <c r="B7719"/>
    </row>
    <row r="7720" spans="1:2" x14ac:dyDescent="0.35">
      <c r="B7720"/>
    </row>
    <row r="7721" spans="1:2" x14ac:dyDescent="0.35">
      <c r="B7721"/>
    </row>
    <row r="7722" spans="1:2" x14ac:dyDescent="0.35">
      <c r="B7722"/>
    </row>
    <row r="7723" spans="1:2" x14ac:dyDescent="0.35">
      <c r="B7723"/>
    </row>
    <row r="7724" spans="1:2" x14ac:dyDescent="0.35">
      <c r="B7724"/>
    </row>
    <row r="7725" spans="1:2" x14ac:dyDescent="0.35">
      <c r="B7725"/>
    </row>
    <row r="7726" spans="1:2" x14ac:dyDescent="0.35">
      <c r="B7726"/>
    </row>
    <row r="7727" spans="1:2" ht="15.5" x14ac:dyDescent="0.35">
      <c r="A7727" s="49"/>
      <c r="B7727"/>
    </row>
    <row r="7728" spans="1:2" x14ac:dyDescent="0.35">
      <c r="B7728"/>
    </row>
    <row r="7729" spans="1:2" x14ac:dyDescent="0.35">
      <c r="B7729"/>
    </row>
    <row r="7730" spans="1:2" x14ac:dyDescent="0.35">
      <c r="B7730"/>
    </row>
    <row r="7731" spans="1:2" x14ac:dyDescent="0.35">
      <c r="B7731"/>
    </row>
    <row r="7732" spans="1:2" x14ac:dyDescent="0.35">
      <c r="B7732"/>
    </row>
    <row r="7733" spans="1:2" x14ac:dyDescent="0.35">
      <c r="B7733"/>
    </row>
    <row r="7734" spans="1:2" x14ac:dyDescent="0.35">
      <c r="B7734"/>
    </row>
    <row r="7735" spans="1:2" x14ac:dyDescent="0.35">
      <c r="B7735"/>
    </row>
    <row r="7736" spans="1:2" x14ac:dyDescent="0.35">
      <c r="B7736"/>
    </row>
    <row r="7737" spans="1:2" x14ac:dyDescent="0.35">
      <c r="B7737"/>
    </row>
    <row r="7738" spans="1:2" x14ac:dyDescent="0.35">
      <c r="B7738"/>
    </row>
    <row r="7739" spans="1:2" ht="15.5" x14ac:dyDescent="0.35">
      <c r="A7739" s="49"/>
      <c r="B7739" s="49"/>
    </row>
    <row r="7740" spans="1:2" x14ac:dyDescent="0.35">
      <c r="B7740"/>
    </row>
    <row r="7741" spans="1:2" x14ac:dyDescent="0.35">
      <c r="B7741"/>
    </row>
    <row r="7742" spans="1:2" x14ac:dyDescent="0.35">
      <c r="B7742"/>
    </row>
    <row r="7743" spans="1:2" x14ac:dyDescent="0.35">
      <c r="B7743"/>
    </row>
    <row r="7744" spans="1:2" x14ac:dyDescent="0.35">
      <c r="B7744"/>
    </row>
    <row r="7745" spans="1:2" x14ac:dyDescent="0.35">
      <c r="B7745"/>
    </row>
    <row r="7746" spans="1:2" x14ac:dyDescent="0.35">
      <c r="B7746"/>
    </row>
    <row r="7747" spans="1:2" x14ac:dyDescent="0.35">
      <c r="B7747"/>
    </row>
    <row r="7748" spans="1:2" x14ac:dyDescent="0.35">
      <c r="B7748"/>
    </row>
    <row r="7749" spans="1:2" ht="15.5" x14ac:dyDescent="0.35">
      <c r="A7749" s="49"/>
      <c r="B7749"/>
    </row>
    <row r="7750" spans="1:2" x14ac:dyDescent="0.35">
      <c r="B7750"/>
    </row>
    <row r="7751" spans="1:2" x14ac:dyDescent="0.35">
      <c r="B7751"/>
    </row>
    <row r="7752" spans="1:2" x14ac:dyDescent="0.35">
      <c r="B7752"/>
    </row>
    <row r="7753" spans="1:2" x14ac:dyDescent="0.35">
      <c r="B7753"/>
    </row>
    <row r="7754" spans="1:2" x14ac:dyDescent="0.35">
      <c r="B7754"/>
    </row>
    <row r="7755" spans="1:2" x14ac:dyDescent="0.35">
      <c r="B7755"/>
    </row>
    <row r="7756" spans="1:2" x14ac:dyDescent="0.35">
      <c r="B7756"/>
    </row>
    <row r="7757" spans="1:2" x14ac:dyDescent="0.35">
      <c r="B7757"/>
    </row>
    <row r="7758" spans="1:2" x14ac:dyDescent="0.35">
      <c r="B7758"/>
    </row>
    <row r="7759" spans="1:2" x14ac:dyDescent="0.35">
      <c r="B7759"/>
    </row>
    <row r="7760" spans="1:2" x14ac:dyDescent="0.35">
      <c r="B7760"/>
    </row>
    <row r="7761" spans="1:2" ht="15.5" x14ac:dyDescent="0.35">
      <c r="A7761" s="49"/>
      <c r="B7761" s="49"/>
    </row>
    <row r="7762" spans="1:2" x14ac:dyDescent="0.35">
      <c r="B7762"/>
    </row>
    <row r="7763" spans="1:2" x14ac:dyDescent="0.35">
      <c r="B7763"/>
    </row>
    <row r="7764" spans="1:2" x14ac:dyDescent="0.35">
      <c r="B7764"/>
    </row>
    <row r="7765" spans="1:2" x14ac:dyDescent="0.35">
      <c r="B7765"/>
    </row>
    <row r="7766" spans="1:2" x14ac:dyDescent="0.35">
      <c r="B7766"/>
    </row>
    <row r="7767" spans="1:2" x14ac:dyDescent="0.35">
      <c r="B7767"/>
    </row>
    <row r="7768" spans="1:2" x14ac:dyDescent="0.35">
      <c r="B7768"/>
    </row>
    <row r="7769" spans="1:2" x14ac:dyDescent="0.35">
      <c r="B7769"/>
    </row>
    <row r="7770" spans="1:2" x14ac:dyDescent="0.35">
      <c r="B7770"/>
    </row>
    <row r="7771" spans="1:2" ht="15.5" x14ac:dyDescent="0.35">
      <c r="A7771" s="49"/>
      <c r="B7771"/>
    </row>
    <row r="7772" spans="1:2" x14ac:dyDescent="0.35">
      <c r="B7772"/>
    </row>
    <row r="7773" spans="1:2" x14ac:dyDescent="0.35">
      <c r="B7773"/>
    </row>
    <row r="7774" spans="1:2" x14ac:dyDescent="0.35">
      <c r="B7774"/>
    </row>
    <row r="7775" spans="1:2" x14ac:dyDescent="0.35">
      <c r="B7775"/>
    </row>
    <row r="7776" spans="1:2" x14ac:dyDescent="0.35">
      <c r="B7776"/>
    </row>
    <row r="7777" spans="1:2" x14ac:dyDescent="0.35">
      <c r="B7777"/>
    </row>
    <row r="7778" spans="1:2" x14ac:dyDescent="0.35">
      <c r="B7778"/>
    </row>
    <row r="7779" spans="1:2" x14ac:dyDescent="0.35">
      <c r="B7779"/>
    </row>
    <row r="7780" spans="1:2" x14ac:dyDescent="0.35">
      <c r="B7780"/>
    </row>
    <row r="7781" spans="1:2" x14ac:dyDescent="0.35">
      <c r="B7781"/>
    </row>
    <row r="7782" spans="1:2" x14ac:dyDescent="0.35">
      <c r="B7782"/>
    </row>
    <row r="7783" spans="1:2" ht="15.5" x14ac:dyDescent="0.35">
      <c r="A7783" s="49"/>
      <c r="B7783" s="49"/>
    </row>
    <row r="7784" spans="1:2" x14ac:dyDescent="0.35">
      <c r="B7784"/>
    </row>
    <row r="7785" spans="1:2" x14ac:dyDescent="0.35">
      <c r="B7785"/>
    </row>
    <row r="7786" spans="1:2" x14ac:dyDescent="0.35">
      <c r="B7786"/>
    </row>
    <row r="7787" spans="1:2" x14ac:dyDescent="0.35">
      <c r="B7787"/>
    </row>
    <row r="7788" spans="1:2" x14ac:dyDescent="0.35">
      <c r="B7788"/>
    </row>
    <row r="7789" spans="1:2" x14ac:dyDescent="0.35">
      <c r="B7789"/>
    </row>
    <row r="7790" spans="1:2" x14ac:dyDescent="0.35">
      <c r="B7790"/>
    </row>
    <row r="7791" spans="1:2" x14ac:dyDescent="0.35">
      <c r="B7791"/>
    </row>
    <row r="7792" spans="1:2" x14ac:dyDescent="0.35">
      <c r="B7792"/>
    </row>
    <row r="7793" spans="1:2" ht="15.5" x14ac:dyDescent="0.35">
      <c r="A7793" s="49"/>
      <c r="B7793"/>
    </row>
    <row r="7794" spans="1:2" x14ac:dyDescent="0.35">
      <c r="B7794"/>
    </row>
    <row r="7795" spans="1:2" x14ac:dyDescent="0.35">
      <c r="B7795"/>
    </row>
    <row r="7796" spans="1:2" x14ac:dyDescent="0.35">
      <c r="B7796"/>
    </row>
    <row r="7797" spans="1:2" x14ac:dyDescent="0.35">
      <c r="B7797"/>
    </row>
    <row r="7798" spans="1:2" x14ac:dyDescent="0.35">
      <c r="B7798"/>
    </row>
    <row r="7799" spans="1:2" x14ac:dyDescent="0.35">
      <c r="B7799"/>
    </row>
    <row r="7800" spans="1:2" x14ac:dyDescent="0.35">
      <c r="B7800"/>
    </row>
    <row r="7801" spans="1:2" x14ac:dyDescent="0.35">
      <c r="B7801"/>
    </row>
    <row r="7802" spans="1:2" x14ac:dyDescent="0.35">
      <c r="B7802"/>
    </row>
    <row r="7803" spans="1:2" x14ac:dyDescent="0.35">
      <c r="B7803"/>
    </row>
    <row r="7804" spans="1:2" x14ac:dyDescent="0.35">
      <c r="B7804"/>
    </row>
    <row r="7805" spans="1:2" ht="15.5" x14ac:dyDescent="0.35">
      <c r="A7805" s="49"/>
      <c r="B7805" s="49"/>
    </row>
    <row r="7806" spans="1:2" x14ac:dyDescent="0.35">
      <c r="B7806"/>
    </row>
    <row r="7807" spans="1:2" x14ac:dyDescent="0.35">
      <c r="B7807"/>
    </row>
    <row r="7808" spans="1:2" x14ac:dyDescent="0.35">
      <c r="B7808"/>
    </row>
    <row r="7809" spans="1:2" x14ac:dyDescent="0.35">
      <c r="B7809"/>
    </row>
    <row r="7810" spans="1:2" x14ac:dyDescent="0.35">
      <c r="B7810"/>
    </row>
    <row r="7811" spans="1:2" x14ac:dyDescent="0.35">
      <c r="B7811"/>
    </row>
    <row r="7812" spans="1:2" x14ac:dyDescent="0.35">
      <c r="B7812"/>
    </row>
    <row r="7813" spans="1:2" x14ac:dyDescent="0.35">
      <c r="B7813"/>
    </row>
    <row r="7814" spans="1:2" x14ac:dyDescent="0.35">
      <c r="B7814"/>
    </row>
    <row r="7815" spans="1:2" ht="15.5" x14ac:dyDescent="0.35">
      <c r="A7815" s="49"/>
      <c r="B7815"/>
    </row>
    <row r="7816" spans="1:2" x14ac:dyDescent="0.35">
      <c r="B7816"/>
    </row>
    <row r="7817" spans="1:2" x14ac:dyDescent="0.35">
      <c r="B7817"/>
    </row>
    <row r="7818" spans="1:2" x14ac:dyDescent="0.35">
      <c r="B7818"/>
    </row>
    <row r="7819" spans="1:2" x14ac:dyDescent="0.35">
      <c r="B7819"/>
    </row>
    <row r="7820" spans="1:2" x14ac:dyDescent="0.35">
      <c r="B7820"/>
    </row>
    <row r="7821" spans="1:2" x14ac:dyDescent="0.35">
      <c r="B7821"/>
    </row>
    <row r="7822" spans="1:2" x14ac:dyDescent="0.35">
      <c r="B7822"/>
    </row>
    <row r="7823" spans="1:2" x14ac:dyDescent="0.35">
      <c r="B7823"/>
    </row>
    <row r="7824" spans="1:2" x14ac:dyDescent="0.35">
      <c r="B7824"/>
    </row>
    <row r="7825" spans="1:2" x14ac:dyDescent="0.35">
      <c r="B7825"/>
    </row>
    <row r="7826" spans="1:2" x14ac:dyDescent="0.35">
      <c r="B7826"/>
    </row>
    <row r="7827" spans="1:2" ht="15.5" x14ac:dyDescent="0.35">
      <c r="A7827" s="49"/>
      <c r="B7827" s="49"/>
    </row>
    <row r="7828" spans="1:2" x14ac:dyDescent="0.35">
      <c r="B7828"/>
    </row>
    <row r="7829" spans="1:2" x14ac:dyDescent="0.35">
      <c r="B7829"/>
    </row>
    <row r="7830" spans="1:2" x14ac:dyDescent="0.35">
      <c r="B7830"/>
    </row>
    <row r="7831" spans="1:2" x14ac:dyDescent="0.35">
      <c r="B7831"/>
    </row>
    <row r="7832" spans="1:2" x14ac:dyDescent="0.35">
      <c r="B7832"/>
    </row>
    <row r="7833" spans="1:2" x14ac:dyDescent="0.35">
      <c r="B7833"/>
    </row>
    <row r="7834" spans="1:2" x14ac:dyDescent="0.35">
      <c r="B7834"/>
    </row>
    <row r="7835" spans="1:2" x14ac:dyDescent="0.35">
      <c r="B7835"/>
    </row>
    <row r="7836" spans="1:2" x14ac:dyDescent="0.35">
      <c r="B7836"/>
    </row>
    <row r="7837" spans="1:2" ht="15.5" x14ac:dyDescent="0.35">
      <c r="A7837" s="49"/>
      <c r="B7837"/>
    </row>
    <row r="7838" spans="1:2" x14ac:dyDescent="0.35">
      <c r="B7838"/>
    </row>
    <row r="7839" spans="1:2" x14ac:dyDescent="0.35">
      <c r="B7839"/>
    </row>
    <row r="7840" spans="1:2" x14ac:dyDescent="0.35">
      <c r="B7840"/>
    </row>
    <row r="7841" spans="1:2" x14ac:dyDescent="0.35">
      <c r="B7841"/>
    </row>
    <row r="7842" spans="1:2" x14ac:dyDescent="0.35">
      <c r="B7842"/>
    </row>
    <row r="7843" spans="1:2" x14ac:dyDescent="0.35">
      <c r="B7843"/>
    </row>
    <row r="7844" spans="1:2" x14ac:dyDescent="0.35">
      <c r="B7844"/>
    </row>
    <row r="7845" spans="1:2" x14ac:dyDescent="0.35">
      <c r="B7845"/>
    </row>
    <row r="7846" spans="1:2" x14ac:dyDescent="0.35">
      <c r="B7846"/>
    </row>
    <row r="7847" spans="1:2" x14ac:dyDescent="0.35">
      <c r="B7847"/>
    </row>
    <row r="7848" spans="1:2" x14ac:dyDescent="0.35">
      <c r="B7848"/>
    </row>
    <row r="7849" spans="1:2" ht="15.5" x14ac:dyDescent="0.35">
      <c r="A7849" s="49"/>
      <c r="B7849" s="49"/>
    </row>
    <row r="7850" spans="1:2" x14ac:dyDescent="0.35">
      <c r="B7850"/>
    </row>
    <row r="7851" spans="1:2" x14ac:dyDescent="0.35">
      <c r="B7851"/>
    </row>
    <row r="7852" spans="1:2" x14ac:dyDescent="0.35">
      <c r="B7852"/>
    </row>
    <row r="7853" spans="1:2" x14ac:dyDescent="0.35">
      <c r="B7853"/>
    </row>
    <row r="7854" spans="1:2" x14ac:dyDescent="0.35">
      <c r="B7854"/>
    </row>
    <row r="7855" spans="1:2" x14ac:dyDescent="0.35">
      <c r="B7855"/>
    </row>
    <row r="7856" spans="1:2" x14ac:dyDescent="0.35">
      <c r="B7856"/>
    </row>
    <row r="7857" spans="1:2" x14ac:dyDescent="0.35">
      <c r="B7857"/>
    </row>
    <row r="7858" spans="1:2" x14ac:dyDescent="0.35">
      <c r="B7858"/>
    </row>
    <row r="7859" spans="1:2" ht="15.5" x14ac:dyDescent="0.35">
      <c r="A7859" s="49"/>
      <c r="B7859"/>
    </row>
    <row r="7860" spans="1:2" x14ac:dyDescent="0.35">
      <c r="B7860"/>
    </row>
    <row r="7861" spans="1:2" x14ac:dyDescent="0.35">
      <c r="B7861"/>
    </row>
    <row r="7862" spans="1:2" x14ac:dyDescent="0.35">
      <c r="B7862"/>
    </row>
    <row r="7863" spans="1:2" x14ac:dyDescent="0.35">
      <c r="B7863"/>
    </row>
    <row r="7864" spans="1:2" x14ac:dyDescent="0.35">
      <c r="B7864"/>
    </row>
    <row r="7865" spans="1:2" x14ac:dyDescent="0.35">
      <c r="B7865"/>
    </row>
    <row r="7866" spans="1:2" x14ac:dyDescent="0.35">
      <c r="B7866"/>
    </row>
    <row r="7867" spans="1:2" x14ac:dyDescent="0.35">
      <c r="B7867"/>
    </row>
    <row r="7868" spans="1:2" x14ac:dyDescent="0.35">
      <c r="B7868"/>
    </row>
    <row r="7869" spans="1:2" x14ac:dyDescent="0.35">
      <c r="B7869"/>
    </row>
    <row r="7870" spans="1:2" x14ac:dyDescent="0.35">
      <c r="B7870"/>
    </row>
    <row r="7871" spans="1:2" ht="15.5" x14ac:dyDescent="0.35">
      <c r="A7871" s="49"/>
      <c r="B7871" s="49"/>
    </row>
    <row r="7872" spans="1:2" x14ac:dyDescent="0.35">
      <c r="B7872"/>
    </row>
    <row r="7873" spans="1:2" x14ac:dyDescent="0.35">
      <c r="B7873"/>
    </row>
    <row r="7874" spans="1:2" x14ac:dyDescent="0.35">
      <c r="B7874"/>
    </row>
    <row r="7875" spans="1:2" x14ac:dyDescent="0.35">
      <c r="B7875"/>
    </row>
    <row r="7876" spans="1:2" x14ac:dyDescent="0.35">
      <c r="B7876"/>
    </row>
    <row r="7877" spans="1:2" x14ac:dyDescent="0.35">
      <c r="B7877"/>
    </row>
    <row r="7878" spans="1:2" x14ac:dyDescent="0.35">
      <c r="B7878"/>
    </row>
    <row r="7879" spans="1:2" x14ac:dyDescent="0.35">
      <c r="B7879"/>
    </row>
    <row r="7880" spans="1:2" x14ac:dyDescent="0.35">
      <c r="B7880"/>
    </row>
    <row r="7881" spans="1:2" ht="15.5" x14ac:dyDescent="0.35">
      <c r="A7881" s="49"/>
      <c r="B7881"/>
    </row>
    <row r="7882" spans="1:2" x14ac:dyDescent="0.35">
      <c r="B7882"/>
    </row>
    <row r="7883" spans="1:2" x14ac:dyDescent="0.35">
      <c r="B7883"/>
    </row>
    <row r="7884" spans="1:2" x14ac:dyDescent="0.35">
      <c r="B7884"/>
    </row>
    <row r="7885" spans="1:2" x14ac:dyDescent="0.35">
      <c r="B7885"/>
    </row>
    <row r="7886" spans="1:2" x14ac:dyDescent="0.35">
      <c r="B7886"/>
    </row>
    <row r="7887" spans="1:2" x14ac:dyDescent="0.35">
      <c r="B7887"/>
    </row>
    <row r="7888" spans="1:2" x14ac:dyDescent="0.35">
      <c r="B7888"/>
    </row>
    <row r="7889" spans="1:2" x14ac:dyDescent="0.35">
      <c r="B7889"/>
    </row>
    <row r="7890" spans="1:2" x14ac:dyDescent="0.35">
      <c r="B7890"/>
    </row>
    <row r="7891" spans="1:2" x14ac:dyDescent="0.35">
      <c r="B7891"/>
    </row>
    <row r="7892" spans="1:2" x14ac:dyDescent="0.35">
      <c r="B7892"/>
    </row>
    <row r="7893" spans="1:2" ht="15.5" x14ac:dyDescent="0.35">
      <c r="A7893" s="49"/>
      <c r="B7893" s="49"/>
    </row>
    <row r="7894" spans="1:2" x14ac:dyDescent="0.35">
      <c r="B7894"/>
    </row>
    <row r="7895" spans="1:2" x14ac:dyDescent="0.35">
      <c r="B7895"/>
    </row>
    <row r="7896" spans="1:2" x14ac:dyDescent="0.35">
      <c r="B7896"/>
    </row>
    <row r="7897" spans="1:2" x14ac:dyDescent="0.35">
      <c r="B7897"/>
    </row>
    <row r="7898" spans="1:2" x14ac:dyDescent="0.35">
      <c r="B7898"/>
    </row>
    <row r="7899" spans="1:2" x14ac:dyDescent="0.35">
      <c r="B7899"/>
    </row>
    <row r="7900" spans="1:2" x14ac:dyDescent="0.35">
      <c r="B7900"/>
    </row>
    <row r="7901" spans="1:2" x14ac:dyDescent="0.35">
      <c r="B7901"/>
    </row>
    <row r="7902" spans="1:2" x14ac:dyDescent="0.35">
      <c r="B7902"/>
    </row>
    <row r="7903" spans="1:2" ht="15.5" x14ac:dyDescent="0.35">
      <c r="A7903" s="49"/>
      <c r="B7903"/>
    </row>
    <row r="7904" spans="1:2" x14ac:dyDescent="0.35">
      <c r="B7904"/>
    </row>
    <row r="7905" spans="1:2" x14ac:dyDescent="0.35">
      <c r="B7905"/>
    </row>
    <row r="7906" spans="1:2" x14ac:dyDescent="0.35">
      <c r="B7906"/>
    </row>
    <row r="7907" spans="1:2" x14ac:dyDescent="0.35">
      <c r="B7907"/>
    </row>
    <row r="7908" spans="1:2" x14ac:dyDescent="0.35">
      <c r="B7908"/>
    </row>
    <row r="7909" spans="1:2" x14ac:dyDescent="0.35">
      <c r="B7909"/>
    </row>
    <row r="7910" spans="1:2" x14ac:dyDescent="0.35">
      <c r="B7910"/>
    </row>
    <row r="7911" spans="1:2" x14ac:dyDescent="0.35">
      <c r="B7911"/>
    </row>
    <row r="7912" spans="1:2" x14ac:dyDescent="0.35">
      <c r="B7912"/>
    </row>
    <row r="7913" spans="1:2" x14ac:dyDescent="0.35">
      <c r="B7913"/>
    </row>
    <row r="7914" spans="1:2" x14ac:dyDescent="0.35">
      <c r="B7914"/>
    </row>
    <row r="7915" spans="1:2" ht="15.5" x14ac:dyDescent="0.35">
      <c r="A7915" s="49"/>
      <c r="B7915" s="49"/>
    </row>
    <row r="7916" spans="1:2" x14ac:dyDescent="0.35">
      <c r="B7916"/>
    </row>
    <row r="7917" spans="1:2" x14ac:dyDescent="0.35">
      <c r="B7917"/>
    </row>
    <row r="7918" spans="1:2" x14ac:dyDescent="0.35">
      <c r="B7918"/>
    </row>
    <row r="7919" spans="1:2" x14ac:dyDescent="0.35">
      <c r="B7919"/>
    </row>
    <row r="7920" spans="1:2" x14ac:dyDescent="0.35">
      <c r="B7920"/>
    </row>
    <row r="7921" spans="1:2" x14ac:dyDescent="0.35">
      <c r="B7921"/>
    </row>
    <row r="7922" spans="1:2" x14ac:dyDescent="0.35">
      <c r="B7922"/>
    </row>
    <row r="7923" spans="1:2" x14ac:dyDescent="0.35">
      <c r="B7923"/>
    </row>
    <row r="7924" spans="1:2" x14ac:dyDescent="0.35">
      <c r="B7924"/>
    </row>
    <row r="7925" spans="1:2" ht="15.5" x14ac:dyDescent="0.35">
      <c r="A7925" s="49"/>
      <c r="B7925"/>
    </row>
    <row r="7926" spans="1:2" x14ac:dyDescent="0.35">
      <c r="B7926"/>
    </row>
    <row r="7927" spans="1:2" x14ac:dyDescent="0.35">
      <c r="B7927"/>
    </row>
    <row r="7928" spans="1:2" x14ac:dyDescent="0.35">
      <c r="B7928"/>
    </row>
    <row r="7929" spans="1:2" x14ac:dyDescent="0.35">
      <c r="B7929"/>
    </row>
    <row r="7930" spans="1:2" x14ac:dyDescent="0.35">
      <c r="B7930"/>
    </row>
    <row r="7931" spans="1:2" x14ac:dyDescent="0.35">
      <c r="B7931"/>
    </row>
    <row r="7932" spans="1:2" x14ac:dyDescent="0.35">
      <c r="B7932"/>
    </row>
    <row r="7933" spans="1:2" x14ac:dyDescent="0.35">
      <c r="B7933"/>
    </row>
    <row r="7934" spans="1:2" x14ac:dyDescent="0.35">
      <c r="B7934"/>
    </row>
    <row r="7935" spans="1:2" x14ac:dyDescent="0.35">
      <c r="B7935"/>
    </row>
    <row r="7936" spans="1:2" x14ac:dyDescent="0.35">
      <c r="B7936"/>
    </row>
    <row r="7937" spans="1:2" ht="15.5" x14ac:dyDescent="0.35">
      <c r="A7937" s="49"/>
      <c r="B7937" s="49"/>
    </row>
    <row r="7938" spans="1:2" x14ac:dyDescent="0.35">
      <c r="B7938"/>
    </row>
    <row r="7939" spans="1:2" x14ac:dyDescent="0.35">
      <c r="B7939"/>
    </row>
    <row r="7940" spans="1:2" x14ac:dyDescent="0.35">
      <c r="B7940"/>
    </row>
    <row r="7941" spans="1:2" x14ac:dyDescent="0.35">
      <c r="B7941"/>
    </row>
    <row r="7942" spans="1:2" x14ac:dyDescent="0.35">
      <c r="B7942"/>
    </row>
    <row r="7943" spans="1:2" x14ac:dyDescent="0.35">
      <c r="B7943"/>
    </row>
    <row r="7944" spans="1:2" x14ac:dyDescent="0.35">
      <c r="B7944"/>
    </row>
    <row r="7945" spans="1:2" x14ac:dyDescent="0.35">
      <c r="B7945"/>
    </row>
    <row r="7946" spans="1:2" x14ac:dyDescent="0.35">
      <c r="B7946"/>
    </row>
    <row r="7947" spans="1:2" ht="15.5" x14ac:dyDescent="0.35">
      <c r="A7947" s="49"/>
      <c r="B7947"/>
    </row>
    <row r="7948" spans="1:2" x14ac:dyDescent="0.35">
      <c r="B7948"/>
    </row>
    <row r="7949" spans="1:2" x14ac:dyDescent="0.35">
      <c r="B7949"/>
    </row>
    <row r="7950" spans="1:2" x14ac:dyDescent="0.35">
      <c r="B7950"/>
    </row>
    <row r="7951" spans="1:2" x14ac:dyDescent="0.35">
      <c r="B7951"/>
    </row>
    <row r="7952" spans="1:2" x14ac:dyDescent="0.35">
      <c r="B7952"/>
    </row>
    <row r="7953" spans="1:2" x14ac:dyDescent="0.35">
      <c r="B7953"/>
    </row>
    <row r="7954" spans="1:2" x14ac:dyDescent="0.35">
      <c r="B7954"/>
    </row>
    <row r="7955" spans="1:2" x14ac:dyDescent="0.35">
      <c r="B7955"/>
    </row>
    <row r="7956" spans="1:2" x14ac:dyDescent="0.35">
      <c r="B7956"/>
    </row>
    <row r="7957" spans="1:2" x14ac:dyDescent="0.35">
      <c r="B7957"/>
    </row>
    <row r="7958" spans="1:2" x14ac:dyDescent="0.35">
      <c r="B7958"/>
    </row>
    <row r="7959" spans="1:2" ht="15.5" x14ac:dyDescent="0.35">
      <c r="A7959" s="49"/>
      <c r="B7959" s="49"/>
    </row>
    <row r="7960" spans="1:2" x14ac:dyDescent="0.35">
      <c r="B7960"/>
    </row>
    <row r="7961" spans="1:2" x14ac:dyDescent="0.35">
      <c r="B7961"/>
    </row>
    <row r="7962" spans="1:2" x14ac:dyDescent="0.35">
      <c r="B7962"/>
    </row>
    <row r="7963" spans="1:2" x14ac:dyDescent="0.35">
      <c r="B7963"/>
    </row>
    <row r="7964" spans="1:2" x14ac:dyDescent="0.35">
      <c r="B7964"/>
    </row>
    <row r="7965" spans="1:2" x14ac:dyDescent="0.35">
      <c r="B7965"/>
    </row>
    <row r="7966" spans="1:2" x14ac:dyDescent="0.35">
      <c r="B7966"/>
    </row>
    <row r="7967" spans="1:2" x14ac:dyDescent="0.35">
      <c r="B7967"/>
    </row>
    <row r="7968" spans="1:2" x14ac:dyDescent="0.35">
      <c r="B7968"/>
    </row>
    <row r="7969" spans="1:2" ht="15.5" x14ac:dyDescent="0.35">
      <c r="A7969" s="49"/>
      <c r="B7969"/>
    </row>
    <row r="7970" spans="1:2" x14ac:dyDescent="0.35">
      <c r="B7970"/>
    </row>
    <row r="7971" spans="1:2" x14ac:dyDescent="0.35">
      <c r="B7971"/>
    </row>
    <row r="7972" spans="1:2" x14ac:dyDescent="0.35">
      <c r="B7972"/>
    </row>
    <row r="7973" spans="1:2" x14ac:dyDescent="0.35">
      <c r="B7973"/>
    </row>
    <row r="7974" spans="1:2" x14ac:dyDescent="0.35">
      <c r="B7974"/>
    </row>
    <row r="7975" spans="1:2" x14ac:dyDescent="0.35">
      <c r="B7975"/>
    </row>
    <row r="7976" spans="1:2" x14ac:dyDescent="0.35">
      <c r="B7976"/>
    </row>
    <row r="7977" spans="1:2" x14ac:dyDescent="0.35">
      <c r="B7977"/>
    </row>
    <row r="7978" spans="1:2" x14ac:dyDescent="0.35">
      <c r="B7978"/>
    </row>
    <row r="7979" spans="1:2" x14ac:dyDescent="0.35">
      <c r="B7979"/>
    </row>
    <row r="7980" spans="1:2" x14ac:dyDescent="0.35">
      <c r="B7980"/>
    </row>
    <row r="7981" spans="1:2" ht="15.5" x14ac:dyDescent="0.35">
      <c r="A7981" s="49"/>
      <c r="B7981" s="49"/>
    </row>
    <row r="7982" spans="1:2" x14ac:dyDescent="0.35">
      <c r="B7982"/>
    </row>
    <row r="7983" spans="1:2" x14ac:dyDescent="0.35">
      <c r="B7983"/>
    </row>
    <row r="7984" spans="1:2" x14ac:dyDescent="0.35">
      <c r="B7984"/>
    </row>
    <row r="7985" spans="1:2" x14ac:dyDescent="0.35">
      <c r="B7985"/>
    </row>
    <row r="7986" spans="1:2" x14ac:dyDescent="0.35">
      <c r="B7986"/>
    </row>
    <row r="7987" spans="1:2" x14ac:dyDescent="0.35">
      <c r="B7987"/>
    </row>
    <row r="7988" spans="1:2" x14ac:dyDescent="0.35">
      <c r="B7988"/>
    </row>
    <row r="7989" spans="1:2" x14ac:dyDescent="0.35">
      <c r="B7989"/>
    </row>
    <row r="7990" spans="1:2" x14ac:dyDescent="0.35">
      <c r="B7990"/>
    </row>
    <row r="7991" spans="1:2" ht="15.5" x14ac:dyDescent="0.35">
      <c r="A7991" s="49"/>
      <c r="B7991"/>
    </row>
    <row r="7992" spans="1:2" x14ac:dyDescent="0.35">
      <c r="B7992"/>
    </row>
    <row r="7993" spans="1:2" x14ac:dyDescent="0.35">
      <c r="B7993"/>
    </row>
    <row r="7994" spans="1:2" x14ac:dyDescent="0.35">
      <c r="B7994"/>
    </row>
    <row r="7995" spans="1:2" x14ac:dyDescent="0.35">
      <c r="B7995"/>
    </row>
    <row r="7996" spans="1:2" x14ac:dyDescent="0.35">
      <c r="B7996"/>
    </row>
    <row r="7997" spans="1:2" x14ac:dyDescent="0.35">
      <c r="B7997"/>
    </row>
    <row r="7998" spans="1:2" x14ac:dyDescent="0.35">
      <c r="B7998"/>
    </row>
    <row r="7999" spans="1:2" x14ac:dyDescent="0.35">
      <c r="B7999"/>
    </row>
    <row r="8000" spans="1:2" x14ac:dyDescent="0.35">
      <c r="B8000"/>
    </row>
    <row r="8001" spans="1:2" x14ac:dyDescent="0.35">
      <c r="B8001"/>
    </row>
    <row r="8002" spans="1:2" x14ac:dyDescent="0.35">
      <c r="B8002"/>
    </row>
    <row r="8003" spans="1:2" ht="15.5" x14ac:dyDescent="0.35">
      <c r="A8003" s="49"/>
      <c r="B8003" s="49"/>
    </row>
    <row r="8004" spans="1:2" x14ac:dyDescent="0.35">
      <c r="B8004"/>
    </row>
    <row r="8005" spans="1:2" x14ac:dyDescent="0.35">
      <c r="B8005"/>
    </row>
    <row r="8006" spans="1:2" x14ac:dyDescent="0.35">
      <c r="B8006"/>
    </row>
    <row r="8007" spans="1:2" x14ac:dyDescent="0.35">
      <c r="B8007"/>
    </row>
    <row r="8008" spans="1:2" x14ac:dyDescent="0.35">
      <c r="B8008"/>
    </row>
    <row r="8009" spans="1:2" x14ac:dyDescent="0.35">
      <c r="B8009"/>
    </row>
    <row r="8010" spans="1:2" x14ac:dyDescent="0.35">
      <c r="B8010"/>
    </row>
    <row r="8011" spans="1:2" x14ac:dyDescent="0.35">
      <c r="B8011"/>
    </row>
    <row r="8012" spans="1:2" x14ac:dyDescent="0.35">
      <c r="B8012"/>
    </row>
    <row r="8013" spans="1:2" ht="15.5" x14ac:dyDescent="0.35">
      <c r="A8013" s="49"/>
      <c r="B8013"/>
    </row>
    <row r="8014" spans="1:2" x14ac:dyDescent="0.35">
      <c r="B8014"/>
    </row>
    <row r="8015" spans="1:2" x14ac:dyDescent="0.35">
      <c r="B8015"/>
    </row>
    <row r="8016" spans="1:2" x14ac:dyDescent="0.35">
      <c r="B8016"/>
    </row>
    <row r="8017" spans="1:2" x14ac:dyDescent="0.35">
      <c r="B8017"/>
    </row>
    <row r="8018" spans="1:2" x14ac:dyDescent="0.35">
      <c r="B8018"/>
    </row>
    <row r="8019" spans="1:2" x14ac:dyDescent="0.35">
      <c r="B8019"/>
    </row>
    <row r="8020" spans="1:2" x14ac:dyDescent="0.35">
      <c r="B8020"/>
    </row>
    <row r="8021" spans="1:2" x14ac:dyDescent="0.35">
      <c r="B8021"/>
    </row>
    <row r="8022" spans="1:2" x14ac:dyDescent="0.35">
      <c r="B8022"/>
    </row>
    <row r="8023" spans="1:2" x14ac:dyDescent="0.35">
      <c r="B8023"/>
    </row>
    <row r="8024" spans="1:2" x14ac:dyDescent="0.35">
      <c r="B8024"/>
    </row>
    <row r="8025" spans="1:2" ht="15.5" x14ac:dyDescent="0.35">
      <c r="A8025" s="49"/>
      <c r="B8025" s="49"/>
    </row>
    <row r="8026" spans="1:2" x14ac:dyDescent="0.35">
      <c r="B8026"/>
    </row>
    <row r="8027" spans="1:2" x14ac:dyDescent="0.35">
      <c r="B8027"/>
    </row>
    <row r="8028" spans="1:2" x14ac:dyDescent="0.35">
      <c r="B8028"/>
    </row>
    <row r="8029" spans="1:2" x14ac:dyDescent="0.35">
      <c r="B8029"/>
    </row>
    <row r="8030" spans="1:2" x14ac:dyDescent="0.35">
      <c r="B8030"/>
    </row>
    <row r="8031" spans="1:2" x14ac:dyDescent="0.35">
      <c r="B8031"/>
    </row>
    <row r="8032" spans="1:2" x14ac:dyDescent="0.35">
      <c r="B8032"/>
    </row>
    <row r="8033" spans="1:2" x14ac:dyDescent="0.35">
      <c r="B8033"/>
    </row>
    <row r="8034" spans="1:2" x14ac:dyDescent="0.35">
      <c r="B8034"/>
    </row>
    <row r="8035" spans="1:2" ht="15.5" x14ac:dyDescent="0.35">
      <c r="A8035" s="49"/>
      <c r="B8035"/>
    </row>
    <row r="8036" spans="1:2" x14ac:dyDescent="0.35">
      <c r="B8036"/>
    </row>
    <row r="8037" spans="1:2" x14ac:dyDescent="0.35">
      <c r="B8037"/>
    </row>
    <row r="8038" spans="1:2" x14ac:dyDescent="0.35">
      <c r="B8038"/>
    </row>
    <row r="8039" spans="1:2" x14ac:dyDescent="0.35">
      <c r="B8039"/>
    </row>
    <row r="8040" spans="1:2" x14ac:dyDescent="0.35">
      <c r="B8040"/>
    </row>
    <row r="8041" spans="1:2" x14ac:dyDescent="0.35">
      <c r="B8041"/>
    </row>
    <row r="8042" spans="1:2" x14ac:dyDescent="0.35">
      <c r="B8042"/>
    </row>
    <row r="8043" spans="1:2" x14ac:dyDescent="0.35">
      <c r="B8043"/>
    </row>
    <row r="8044" spans="1:2" x14ac:dyDescent="0.35">
      <c r="B8044"/>
    </row>
    <row r="8045" spans="1:2" x14ac:dyDescent="0.35">
      <c r="B8045"/>
    </row>
    <row r="8046" spans="1:2" x14ac:dyDescent="0.35">
      <c r="B8046"/>
    </row>
    <row r="8047" spans="1:2" ht="15.5" x14ac:dyDescent="0.35">
      <c r="A8047" s="49"/>
      <c r="B8047" s="49"/>
    </row>
    <row r="8048" spans="1:2" x14ac:dyDescent="0.35">
      <c r="B8048"/>
    </row>
    <row r="8049" spans="1:2" x14ac:dyDescent="0.35">
      <c r="B8049"/>
    </row>
    <row r="8050" spans="1:2" x14ac:dyDescent="0.35">
      <c r="B8050"/>
    </row>
    <row r="8051" spans="1:2" x14ac:dyDescent="0.35">
      <c r="B8051"/>
    </row>
    <row r="8052" spans="1:2" x14ac:dyDescent="0.35">
      <c r="B8052"/>
    </row>
    <row r="8053" spans="1:2" x14ac:dyDescent="0.35">
      <c r="B8053"/>
    </row>
    <row r="8054" spans="1:2" x14ac:dyDescent="0.35">
      <c r="B8054"/>
    </row>
    <row r="8055" spans="1:2" x14ac:dyDescent="0.35">
      <c r="B8055"/>
    </row>
    <row r="8056" spans="1:2" x14ac:dyDescent="0.35">
      <c r="B8056"/>
    </row>
    <row r="8057" spans="1:2" ht="15.5" x14ac:dyDescent="0.35">
      <c r="A8057" s="49"/>
      <c r="B8057"/>
    </row>
    <row r="8058" spans="1:2" x14ac:dyDescent="0.35">
      <c r="B8058"/>
    </row>
    <row r="8059" spans="1:2" x14ac:dyDescent="0.35">
      <c r="B8059"/>
    </row>
    <row r="8060" spans="1:2" x14ac:dyDescent="0.35">
      <c r="B8060"/>
    </row>
    <row r="8061" spans="1:2" x14ac:dyDescent="0.35">
      <c r="B8061"/>
    </row>
    <row r="8062" spans="1:2" x14ac:dyDescent="0.35">
      <c r="B8062"/>
    </row>
    <row r="8063" spans="1:2" x14ac:dyDescent="0.35">
      <c r="B8063"/>
    </row>
    <row r="8064" spans="1:2" x14ac:dyDescent="0.35">
      <c r="B8064"/>
    </row>
    <row r="8065" spans="1:2" x14ac:dyDescent="0.35">
      <c r="B8065"/>
    </row>
    <row r="8066" spans="1:2" x14ac:dyDescent="0.35">
      <c r="B8066"/>
    </row>
    <row r="8067" spans="1:2" x14ac:dyDescent="0.35">
      <c r="B8067"/>
    </row>
    <row r="8068" spans="1:2" x14ac:dyDescent="0.35">
      <c r="B8068"/>
    </row>
    <row r="8069" spans="1:2" ht="15.5" x14ac:dyDescent="0.35">
      <c r="A8069" s="49"/>
      <c r="B8069" s="49"/>
    </row>
    <row r="8070" spans="1:2" x14ac:dyDescent="0.35">
      <c r="B8070"/>
    </row>
    <row r="8071" spans="1:2" x14ac:dyDescent="0.35">
      <c r="B8071"/>
    </row>
    <row r="8072" spans="1:2" x14ac:dyDescent="0.35">
      <c r="B8072"/>
    </row>
    <row r="8073" spans="1:2" x14ac:dyDescent="0.35">
      <c r="B8073"/>
    </row>
    <row r="8074" spans="1:2" x14ac:dyDescent="0.35">
      <c r="B8074"/>
    </row>
    <row r="8075" spans="1:2" x14ac:dyDescent="0.35">
      <c r="B8075"/>
    </row>
    <row r="8076" spans="1:2" x14ac:dyDescent="0.35">
      <c r="B8076"/>
    </row>
    <row r="8077" spans="1:2" x14ac:dyDescent="0.35">
      <c r="B8077"/>
    </row>
    <row r="8078" spans="1:2" x14ac:dyDescent="0.35">
      <c r="B8078"/>
    </row>
    <row r="8079" spans="1:2" ht="15.5" x14ac:dyDescent="0.35">
      <c r="A8079" s="49"/>
      <c r="B8079"/>
    </row>
    <row r="8080" spans="1:2" x14ac:dyDescent="0.35">
      <c r="B8080"/>
    </row>
    <row r="8081" spans="1:2" x14ac:dyDescent="0.35">
      <c r="B8081"/>
    </row>
    <row r="8082" spans="1:2" x14ac:dyDescent="0.35">
      <c r="B8082"/>
    </row>
    <row r="8083" spans="1:2" x14ac:dyDescent="0.35">
      <c r="B8083"/>
    </row>
    <row r="8084" spans="1:2" x14ac:dyDescent="0.35">
      <c r="B8084"/>
    </row>
    <row r="8085" spans="1:2" x14ac:dyDescent="0.35">
      <c r="B8085"/>
    </row>
    <row r="8086" spans="1:2" x14ac:dyDescent="0.35">
      <c r="B8086"/>
    </row>
    <row r="8087" spans="1:2" x14ac:dyDescent="0.35">
      <c r="B8087"/>
    </row>
    <row r="8088" spans="1:2" x14ac:dyDescent="0.35">
      <c r="B8088"/>
    </row>
    <row r="8089" spans="1:2" x14ac:dyDescent="0.35">
      <c r="B8089"/>
    </row>
    <row r="8090" spans="1:2" x14ac:dyDescent="0.35">
      <c r="B8090"/>
    </row>
    <row r="8091" spans="1:2" ht="15.5" x14ac:dyDescent="0.35">
      <c r="A8091" s="49"/>
      <c r="B8091" s="49"/>
    </row>
    <row r="8092" spans="1:2" x14ac:dyDescent="0.35">
      <c r="B8092"/>
    </row>
    <row r="8093" spans="1:2" x14ac:dyDescent="0.35">
      <c r="B8093"/>
    </row>
    <row r="8094" spans="1:2" x14ac:dyDescent="0.35">
      <c r="B8094"/>
    </row>
    <row r="8095" spans="1:2" x14ac:dyDescent="0.35">
      <c r="B8095"/>
    </row>
    <row r="8096" spans="1:2" x14ac:dyDescent="0.35">
      <c r="B8096"/>
    </row>
    <row r="8097" spans="1:2" x14ac:dyDescent="0.35">
      <c r="B8097"/>
    </row>
    <row r="8098" spans="1:2" x14ac:dyDescent="0.35">
      <c r="B8098"/>
    </row>
    <row r="8099" spans="1:2" x14ac:dyDescent="0.35">
      <c r="B8099"/>
    </row>
    <row r="8100" spans="1:2" x14ac:dyDescent="0.35">
      <c r="B8100"/>
    </row>
    <row r="8101" spans="1:2" ht="15.5" x14ac:dyDescent="0.35">
      <c r="A8101" s="49"/>
      <c r="B8101"/>
    </row>
    <row r="8102" spans="1:2" x14ac:dyDescent="0.35">
      <c r="B8102"/>
    </row>
    <row r="8103" spans="1:2" x14ac:dyDescent="0.35">
      <c r="B8103"/>
    </row>
    <row r="8104" spans="1:2" x14ac:dyDescent="0.35">
      <c r="B8104"/>
    </row>
    <row r="8105" spans="1:2" x14ac:dyDescent="0.35">
      <c r="B8105"/>
    </row>
    <row r="8106" spans="1:2" x14ac:dyDescent="0.35">
      <c r="B8106"/>
    </row>
    <row r="8107" spans="1:2" x14ac:dyDescent="0.35">
      <c r="B8107"/>
    </row>
    <row r="8108" spans="1:2" x14ac:dyDescent="0.35">
      <c r="B8108"/>
    </row>
    <row r="8109" spans="1:2" x14ac:dyDescent="0.35">
      <c r="B8109"/>
    </row>
    <row r="8110" spans="1:2" x14ac:dyDescent="0.35">
      <c r="B8110"/>
    </row>
    <row r="8111" spans="1:2" x14ac:dyDescent="0.35">
      <c r="B8111"/>
    </row>
    <row r="8112" spans="1:2" x14ac:dyDescent="0.35">
      <c r="B8112"/>
    </row>
    <row r="8113" spans="1:2" ht="15.5" x14ac:dyDescent="0.35">
      <c r="A8113" s="49"/>
      <c r="B8113" s="49"/>
    </row>
    <row r="8114" spans="1:2" x14ac:dyDescent="0.35">
      <c r="B8114"/>
    </row>
    <row r="8115" spans="1:2" x14ac:dyDescent="0.35">
      <c r="B8115"/>
    </row>
    <row r="8116" spans="1:2" x14ac:dyDescent="0.35">
      <c r="B8116"/>
    </row>
    <row r="8117" spans="1:2" x14ac:dyDescent="0.35">
      <c r="B8117"/>
    </row>
    <row r="8118" spans="1:2" x14ac:dyDescent="0.35">
      <c r="B8118"/>
    </row>
    <row r="8119" spans="1:2" x14ac:dyDescent="0.35">
      <c r="B8119"/>
    </row>
    <row r="8120" spans="1:2" x14ac:dyDescent="0.35">
      <c r="B8120"/>
    </row>
    <row r="8121" spans="1:2" x14ac:dyDescent="0.35">
      <c r="B8121"/>
    </row>
    <row r="8122" spans="1:2" x14ac:dyDescent="0.35">
      <c r="B8122"/>
    </row>
    <row r="8123" spans="1:2" ht="15.5" x14ac:dyDescent="0.35">
      <c r="A8123" s="49"/>
      <c r="B8123"/>
    </row>
    <row r="8124" spans="1:2" x14ac:dyDescent="0.35">
      <c r="B8124"/>
    </row>
    <row r="8125" spans="1:2" x14ac:dyDescent="0.35">
      <c r="B8125"/>
    </row>
    <row r="8126" spans="1:2" x14ac:dyDescent="0.35">
      <c r="B8126"/>
    </row>
    <row r="8127" spans="1:2" x14ac:dyDescent="0.35">
      <c r="B8127"/>
    </row>
    <row r="8128" spans="1:2" x14ac:dyDescent="0.35">
      <c r="B8128"/>
    </row>
    <row r="8129" spans="1:2" x14ac:dyDescent="0.35">
      <c r="B8129"/>
    </row>
    <row r="8130" spans="1:2" x14ac:dyDescent="0.35">
      <c r="B8130"/>
    </row>
    <row r="8131" spans="1:2" x14ac:dyDescent="0.35">
      <c r="B8131"/>
    </row>
    <row r="8132" spans="1:2" x14ac:dyDescent="0.35">
      <c r="B8132"/>
    </row>
    <row r="8133" spans="1:2" x14ac:dyDescent="0.35">
      <c r="B8133"/>
    </row>
    <row r="8134" spans="1:2" x14ac:dyDescent="0.35">
      <c r="B8134"/>
    </row>
    <row r="8135" spans="1:2" ht="15.5" x14ac:dyDescent="0.35">
      <c r="A8135" s="49"/>
      <c r="B8135" s="49"/>
    </row>
    <row r="8136" spans="1:2" x14ac:dyDescent="0.35">
      <c r="B8136"/>
    </row>
    <row r="8137" spans="1:2" x14ac:dyDescent="0.35">
      <c r="B8137"/>
    </row>
    <row r="8138" spans="1:2" x14ac:dyDescent="0.35">
      <c r="B8138"/>
    </row>
    <row r="8139" spans="1:2" x14ac:dyDescent="0.35">
      <c r="B8139"/>
    </row>
    <row r="8140" spans="1:2" x14ac:dyDescent="0.35">
      <c r="B8140"/>
    </row>
    <row r="8141" spans="1:2" x14ac:dyDescent="0.35">
      <c r="B8141"/>
    </row>
    <row r="8142" spans="1:2" x14ac:dyDescent="0.35">
      <c r="B8142"/>
    </row>
    <row r="8143" spans="1:2" x14ac:dyDescent="0.35">
      <c r="B8143"/>
    </row>
    <row r="8144" spans="1:2" x14ac:dyDescent="0.35">
      <c r="B8144"/>
    </row>
    <row r="8145" spans="1:2" ht="15.5" x14ac:dyDescent="0.35">
      <c r="A8145" s="49"/>
      <c r="B8145"/>
    </row>
    <row r="8146" spans="1:2" x14ac:dyDescent="0.35">
      <c r="B8146"/>
    </row>
    <row r="8147" spans="1:2" x14ac:dyDescent="0.35">
      <c r="B8147"/>
    </row>
    <row r="8148" spans="1:2" x14ac:dyDescent="0.35">
      <c r="B8148"/>
    </row>
    <row r="8149" spans="1:2" x14ac:dyDescent="0.35">
      <c r="B8149"/>
    </row>
    <row r="8150" spans="1:2" x14ac:dyDescent="0.35">
      <c r="B8150"/>
    </row>
    <row r="8151" spans="1:2" x14ac:dyDescent="0.35">
      <c r="B8151"/>
    </row>
    <row r="8152" spans="1:2" x14ac:dyDescent="0.35">
      <c r="B8152"/>
    </row>
    <row r="8153" spans="1:2" x14ac:dyDescent="0.35">
      <c r="B8153"/>
    </row>
    <row r="8154" spans="1:2" x14ac:dyDescent="0.35">
      <c r="B8154"/>
    </row>
    <row r="8155" spans="1:2" x14ac:dyDescent="0.35">
      <c r="B8155"/>
    </row>
    <row r="8156" spans="1:2" x14ac:dyDescent="0.35">
      <c r="B8156"/>
    </row>
    <row r="8157" spans="1:2" ht="15.5" x14ac:dyDescent="0.35">
      <c r="A8157" s="49"/>
      <c r="B8157" s="49"/>
    </row>
    <row r="8158" spans="1:2" x14ac:dyDescent="0.35">
      <c r="B8158"/>
    </row>
    <row r="8159" spans="1:2" x14ac:dyDescent="0.35">
      <c r="B8159"/>
    </row>
    <row r="8160" spans="1:2" x14ac:dyDescent="0.35">
      <c r="B8160"/>
    </row>
    <row r="8161" spans="1:2" x14ac:dyDescent="0.35">
      <c r="B8161"/>
    </row>
    <row r="8162" spans="1:2" x14ac:dyDescent="0.35">
      <c r="B8162"/>
    </row>
    <row r="8163" spans="1:2" x14ac:dyDescent="0.35">
      <c r="B8163"/>
    </row>
    <row r="8164" spans="1:2" x14ac:dyDescent="0.35">
      <c r="B8164"/>
    </row>
    <row r="8165" spans="1:2" x14ac:dyDescent="0.35">
      <c r="B8165"/>
    </row>
    <row r="8166" spans="1:2" x14ac:dyDescent="0.35">
      <c r="B8166"/>
    </row>
    <row r="8167" spans="1:2" ht="15.5" x14ac:dyDescent="0.35">
      <c r="A8167" s="49"/>
      <c r="B8167"/>
    </row>
    <row r="8168" spans="1:2" x14ac:dyDescent="0.35">
      <c r="B8168"/>
    </row>
    <row r="8169" spans="1:2" x14ac:dyDescent="0.35">
      <c r="B8169"/>
    </row>
    <row r="8170" spans="1:2" x14ac:dyDescent="0.35">
      <c r="B8170"/>
    </row>
    <row r="8171" spans="1:2" x14ac:dyDescent="0.35">
      <c r="B8171"/>
    </row>
    <row r="8172" spans="1:2" x14ac:dyDescent="0.35">
      <c r="B8172"/>
    </row>
    <row r="8173" spans="1:2" x14ac:dyDescent="0.35">
      <c r="B8173"/>
    </row>
    <row r="8174" spans="1:2" x14ac:dyDescent="0.35">
      <c r="B8174"/>
    </row>
    <row r="8175" spans="1:2" x14ac:dyDescent="0.35">
      <c r="B8175"/>
    </row>
    <row r="8176" spans="1:2" x14ac:dyDescent="0.35">
      <c r="B8176"/>
    </row>
    <row r="8177" spans="1:2" x14ac:dyDescent="0.35">
      <c r="B8177"/>
    </row>
    <row r="8178" spans="1:2" x14ac:dyDescent="0.35">
      <c r="B8178"/>
    </row>
    <row r="8179" spans="1:2" x14ac:dyDescent="0.35">
      <c r="B8179"/>
    </row>
    <row r="8180" spans="1:2" x14ac:dyDescent="0.35">
      <c r="B8180"/>
    </row>
    <row r="8181" spans="1:2" x14ac:dyDescent="0.35">
      <c r="B8181"/>
    </row>
    <row r="8182" spans="1:2" x14ac:dyDescent="0.35">
      <c r="B8182"/>
    </row>
    <row r="8183" spans="1:2" x14ac:dyDescent="0.35">
      <c r="B8183"/>
    </row>
    <row r="8184" spans="1:2" x14ac:dyDescent="0.35">
      <c r="B8184"/>
    </row>
    <row r="8185" spans="1:2" ht="15.5" x14ac:dyDescent="0.35">
      <c r="A8185" s="49"/>
      <c r="B8185" s="49"/>
    </row>
    <row r="8186" spans="1:2" x14ac:dyDescent="0.35">
      <c r="B8186"/>
    </row>
    <row r="8187" spans="1:2" x14ac:dyDescent="0.35">
      <c r="B8187"/>
    </row>
    <row r="8188" spans="1:2" x14ac:dyDescent="0.35">
      <c r="B8188"/>
    </row>
    <row r="8189" spans="1:2" x14ac:dyDescent="0.35">
      <c r="B8189"/>
    </row>
    <row r="8190" spans="1:2" x14ac:dyDescent="0.35">
      <c r="B8190"/>
    </row>
    <row r="8191" spans="1:2" x14ac:dyDescent="0.35">
      <c r="B8191"/>
    </row>
    <row r="8192" spans="1:2" x14ac:dyDescent="0.35">
      <c r="B8192"/>
    </row>
    <row r="8193" spans="1:2" x14ac:dyDescent="0.35">
      <c r="B8193"/>
    </row>
    <row r="8194" spans="1:2" x14ac:dyDescent="0.35">
      <c r="B8194"/>
    </row>
    <row r="8195" spans="1:2" ht="15.5" x14ac:dyDescent="0.35">
      <c r="A8195" s="49"/>
      <c r="B8195"/>
    </row>
    <row r="8196" spans="1:2" x14ac:dyDescent="0.35">
      <c r="B8196"/>
    </row>
    <row r="8197" spans="1:2" x14ac:dyDescent="0.35">
      <c r="B8197"/>
    </row>
    <row r="8198" spans="1:2" x14ac:dyDescent="0.35">
      <c r="B8198"/>
    </row>
    <row r="8199" spans="1:2" x14ac:dyDescent="0.35">
      <c r="B8199"/>
    </row>
    <row r="8200" spans="1:2" x14ac:dyDescent="0.35">
      <c r="B8200"/>
    </row>
    <row r="8201" spans="1:2" x14ac:dyDescent="0.35">
      <c r="B8201"/>
    </row>
    <row r="8202" spans="1:2" x14ac:dyDescent="0.35">
      <c r="B8202"/>
    </row>
    <row r="8203" spans="1:2" x14ac:dyDescent="0.35">
      <c r="B8203"/>
    </row>
    <row r="8204" spans="1:2" x14ac:dyDescent="0.35">
      <c r="B8204"/>
    </row>
    <row r="8205" spans="1:2" x14ac:dyDescent="0.35">
      <c r="B8205"/>
    </row>
    <row r="8206" spans="1:2" x14ac:dyDescent="0.35">
      <c r="B8206"/>
    </row>
    <row r="8207" spans="1:2" x14ac:dyDescent="0.35">
      <c r="B8207"/>
    </row>
    <row r="8208" spans="1:2" x14ac:dyDescent="0.35">
      <c r="B8208"/>
    </row>
    <row r="8209" spans="1:2" x14ac:dyDescent="0.35">
      <c r="B8209"/>
    </row>
    <row r="8210" spans="1:2" x14ac:dyDescent="0.35">
      <c r="B8210"/>
    </row>
    <row r="8211" spans="1:2" x14ac:dyDescent="0.35">
      <c r="B8211"/>
    </row>
    <row r="8212" spans="1:2" x14ac:dyDescent="0.35">
      <c r="B8212"/>
    </row>
    <row r="8213" spans="1:2" x14ac:dyDescent="0.35">
      <c r="B8213"/>
    </row>
    <row r="8214" spans="1:2" x14ac:dyDescent="0.35">
      <c r="B8214"/>
    </row>
    <row r="8215" spans="1:2" x14ac:dyDescent="0.35">
      <c r="B8215"/>
    </row>
    <row r="8216" spans="1:2" x14ac:dyDescent="0.35">
      <c r="B8216"/>
    </row>
    <row r="8217" spans="1:2" x14ac:dyDescent="0.35">
      <c r="B8217"/>
    </row>
    <row r="8218" spans="1:2" ht="15.5" x14ac:dyDescent="0.35">
      <c r="A8218" s="49"/>
      <c r="B8218" s="49"/>
    </row>
    <row r="8219" spans="1:2" x14ac:dyDescent="0.35">
      <c r="B8219"/>
    </row>
    <row r="8220" spans="1:2" x14ac:dyDescent="0.35">
      <c r="B8220"/>
    </row>
    <row r="8221" spans="1:2" x14ac:dyDescent="0.35">
      <c r="B8221"/>
    </row>
    <row r="8222" spans="1:2" x14ac:dyDescent="0.35">
      <c r="B8222"/>
    </row>
    <row r="8223" spans="1:2" x14ac:dyDescent="0.35">
      <c r="B8223"/>
    </row>
    <row r="8224" spans="1:2" x14ac:dyDescent="0.35">
      <c r="B8224"/>
    </row>
    <row r="8225" spans="1:2" x14ac:dyDescent="0.35">
      <c r="B8225"/>
    </row>
    <row r="8226" spans="1:2" x14ac:dyDescent="0.35">
      <c r="B8226"/>
    </row>
    <row r="8227" spans="1:2" x14ac:dyDescent="0.35">
      <c r="B8227"/>
    </row>
    <row r="8228" spans="1:2" ht="15.5" x14ac:dyDescent="0.35">
      <c r="A8228" s="49"/>
      <c r="B8228"/>
    </row>
    <row r="8229" spans="1:2" x14ac:dyDescent="0.35">
      <c r="B8229"/>
    </row>
    <row r="8230" spans="1:2" x14ac:dyDescent="0.35">
      <c r="B8230"/>
    </row>
    <row r="8231" spans="1:2" x14ac:dyDescent="0.35">
      <c r="B8231"/>
    </row>
    <row r="8232" spans="1:2" x14ac:dyDescent="0.35">
      <c r="B8232"/>
    </row>
    <row r="8233" spans="1:2" x14ac:dyDescent="0.35">
      <c r="B8233"/>
    </row>
    <row r="8234" spans="1:2" x14ac:dyDescent="0.35">
      <c r="B8234"/>
    </row>
    <row r="8235" spans="1:2" x14ac:dyDescent="0.35">
      <c r="B8235"/>
    </row>
    <row r="8236" spans="1:2" x14ac:dyDescent="0.35">
      <c r="B8236"/>
    </row>
    <row r="8237" spans="1:2" ht="15.5" x14ac:dyDescent="0.35">
      <c r="A8237" s="49"/>
      <c r="B8237" s="49"/>
    </row>
    <row r="8238" spans="1:2" x14ac:dyDescent="0.35">
      <c r="B8238"/>
    </row>
    <row r="8239" spans="1:2" x14ac:dyDescent="0.35">
      <c r="B8239"/>
    </row>
    <row r="8240" spans="1:2" x14ac:dyDescent="0.35">
      <c r="B8240"/>
    </row>
    <row r="8241" spans="1:2" x14ac:dyDescent="0.35">
      <c r="B8241"/>
    </row>
    <row r="8242" spans="1:2" x14ac:dyDescent="0.35">
      <c r="B8242"/>
    </row>
    <row r="8243" spans="1:2" x14ac:dyDescent="0.35">
      <c r="B8243"/>
    </row>
    <row r="8244" spans="1:2" x14ac:dyDescent="0.35">
      <c r="B8244"/>
    </row>
    <row r="8245" spans="1:2" x14ac:dyDescent="0.35">
      <c r="B8245"/>
    </row>
    <row r="8246" spans="1:2" x14ac:dyDescent="0.35">
      <c r="B8246"/>
    </row>
    <row r="8247" spans="1:2" ht="15.5" x14ac:dyDescent="0.35">
      <c r="A8247" s="49"/>
      <c r="B8247"/>
    </row>
    <row r="8248" spans="1:2" x14ac:dyDescent="0.35">
      <c r="B8248"/>
    </row>
    <row r="8249" spans="1:2" x14ac:dyDescent="0.35">
      <c r="B8249"/>
    </row>
    <row r="8250" spans="1:2" x14ac:dyDescent="0.35">
      <c r="B8250"/>
    </row>
    <row r="8251" spans="1:2" x14ac:dyDescent="0.35">
      <c r="B8251"/>
    </row>
    <row r="8252" spans="1:2" x14ac:dyDescent="0.35">
      <c r="B8252"/>
    </row>
    <row r="8253" spans="1:2" x14ac:dyDescent="0.35">
      <c r="B8253"/>
    </row>
    <row r="8254" spans="1:2" x14ac:dyDescent="0.35">
      <c r="B8254"/>
    </row>
    <row r="8255" spans="1:2" x14ac:dyDescent="0.35">
      <c r="B8255"/>
    </row>
    <row r="8256" spans="1:2" x14ac:dyDescent="0.35">
      <c r="B8256"/>
    </row>
    <row r="8257" spans="1:2" x14ac:dyDescent="0.35">
      <c r="B8257"/>
    </row>
    <row r="8258" spans="1:2" x14ac:dyDescent="0.35">
      <c r="B8258"/>
    </row>
    <row r="8259" spans="1:2" x14ac:dyDescent="0.35">
      <c r="B8259"/>
    </row>
    <row r="8260" spans="1:2" x14ac:dyDescent="0.35">
      <c r="B8260"/>
    </row>
    <row r="8261" spans="1:2" x14ac:dyDescent="0.35">
      <c r="B8261"/>
    </row>
    <row r="8262" spans="1:2" x14ac:dyDescent="0.35">
      <c r="B8262"/>
    </row>
    <row r="8263" spans="1:2" x14ac:dyDescent="0.35">
      <c r="B8263"/>
    </row>
    <row r="8264" spans="1:2" x14ac:dyDescent="0.35">
      <c r="B8264"/>
    </row>
    <row r="8265" spans="1:2" x14ac:dyDescent="0.35">
      <c r="B8265"/>
    </row>
    <row r="8266" spans="1:2" x14ac:dyDescent="0.35">
      <c r="B8266"/>
    </row>
    <row r="8267" spans="1:2" x14ac:dyDescent="0.35">
      <c r="B8267"/>
    </row>
    <row r="8268" spans="1:2" x14ac:dyDescent="0.35">
      <c r="B8268"/>
    </row>
    <row r="8269" spans="1:2" x14ac:dyDescent="0.35">
      <c r="B8269"/>
    </row>
    <row r="8270" spans="1:2" ht="15.5" x14ac:dyDescent="0.35">
      <c r="A8270" s="49"/>
      <c r="B8270" s="49"/>
    </row>
    <row r="8271" spans="1:2" x14ac:dyDescent="0.35">
      <c r="B8271"/>
    </row>
    <row r="8272" spans="1:2" x14ac:dyDescent="0.35">
      <c r="B8272"/>
    </row>
    <row r="8273" spans="1:2" x14ac:dyDescent="0.35">
      <c r="B8273"/>
    </row>
    <row r="8274" spans="1:2" x14ac:dyDescent="0.35">
      <c r="B8274"/>
    </row>
    <row r="8275" spans="1:2" x14ac:dyDescent="0.35">
      <c r="B8275"/>
    </row>
    <row r="8276" spans="1:2" x14ac:dyDescent="0.35">
      <c r="B8276"/>
    </row>
    <row r="8277" spans="1:2" x14ac:dyDescent="0.35">
      <c r="B8277"/>
    </row>
    <row r="8278" spans="1:2" x14ac:dyDescent="0.35">
      <c r="B8278"/>
    </row>
    <row r="8279" spans="1:2" x14ac:dyDescent="0.35">
      <c r="B8279"/>
    </row>
    <row r="8280" spans="1:2" ht="15.5" x14ac:dyDescent="0.35">
      <c r="A8280" s="49"/>
      <c r="B8280"/>
    </row>
    <row r="8281" spans="1:2" x14ac:dyDescent="0.35">
      <c r="B8281"/>
    </row>
    <row r="8282" spans="1:2" x14ac:dyDescent="0.35">
      <c r="B8282"/>
    </row>
    <row r="8283" spans="1:2" x14ac:dyDescent="0.35">
      <c r="B8283"/>
    </row>
    <row r="8284" spans="1:2" x14ac:dyDescent="0.35">
      <c r="B8284"/>
    </row>
    <row r="8285" spans="1:2" x14ac:dyDescent="0.35">
      <c r="B8285"/>
    </row>
    <row r="8286" spans="1:2" x14ac:dyDescent="0.35">
      <c r="B8286"/>
    </row>
    <row r="8287" spans="1:2" x14ac:dyDescent="0.35">
      <c r="B8287"/>
    </row>
    <row r="8288" spans="1:2" x14ac:dyDescent="0.35">
      <c r="B8288"/>
    </row>
    <row r="8289" spans="1:2" x14ac:dyDescent="0.35">
      <c r="B8289"/>
    </row>
    <row r="8290" spans="1:2" ht="15.5" x14ac:dyDescent="0.35">
      <c r="A8290" s="49"/>
      <c r="B8290" s="49"/>
    </row>
    <row r="8291" spans="1:2" x14ac:dyDescent="0.35">
      <c r="B8291"/>
    </row>
    <row r="8292" spans="1:2" x14ac:dyDescent="0.35">
      <c r="B8292"/>
    </row>
    <row r="8293" spans="1:2" x14ac:dyDescent="0.35">
      <c r="B8293"/>
    </row>
    <row r="8294" spans="1:2" x14ac:dyDescent="0.35">
      <c r="B8294"/>
    </row>
    <row r="8295" spans="1:2" x14ac:dyDescent="0.35">
      <c r="B8295"/>
    </row>
    <row r="8296" spans="1:2" x14ac:dyDescent="0.35">
      <c r="B8296"/>
    </row>
    <row r="8297" spans="1:2" x14ac:dyDescent="0.35">
      <c r="B8297"/>
    </row>
    <row r="8298" spans="1:2" x14ac:dyDescent="0.35">
      <c r="B8298"/>
    </row>
    <row r="8299" spans="1:2" x14ac:dyDescent="0.35">
      <c r="B8299"/>
    </row>
    <row r="8300" spans="1:2" ht="15.5" x14ac:dyDescent="0.35">
      <c r="A8300" s="49"/>
      <c r="B8300"/>
    </row>
    <row r="8301" spans="1:2" x14ac:dyDescent="0.35">
      <c r="B8301"/>
    </row>
    <row r="8302" spans="1:2" x14ac:dyDescent="0.35">
      <c r="B8302"/>
    </row>
    <row r="8303" spans="1:2" x14ac:dyDescent="0.35">
      <c r="B8303"/>
    </row>
    <row r="8304" spans="1:2" x14ac:dyDescent="0.35">
      <c r="B8304"/>
    </row>
    <row r="8305" spans="1:2" x14ac:dyDescent="0.35">
      <c r="B8305"/>
    </row>
    <row r="8306" spans="1:2" x14ac:dyDescent="0.35">
      <c r="B8306"/>
    </row>
    <row r="8307" spans="1:2" x14ac:dyDescent="0.35">
      <c r="B8307"/>
    </row>
    <row r="8308" spans="1:2" x14ac:dyDescent="0.35">
      <c r="B8308"/>
    </row>
    <row r="8309" spans="1:2" x14ac:dyDescent="0.35">
      <c r="B8309"/>
    </row>
    <row r="8310" spans="1:2" x14ac:dyDescent="0.35">
      <c r="B8310"/>
    </row>
    <row r="8311" spans="1:2" x14ac:dyDescent="0.35">
      <c r="B8311"/>
    </row>
    <row r="8312" spans="1:2" x14ac:dyDescent="0.35">
      <c r="B8312"/>
    </row>
    <row r="8313" spans="1:2" x14ac:dyDescent="0.35">
      <c r="B8313"/>
    </row>
    <row r="8314" spans="1:2" ht="15.5" x14ac:dyDescent="0.35">
      <c r="A8314" s="49"/>
      <c r="B8314" s="49"/>
    </row>
    <row r="8315" spans="1:2" x14ac:dyDescent="0.35">
      <c r="B8315"/>
    </row>
    <row r="8316" spans="1:2" x14ac:dyDescent="0.35">
      <c r="B8316"/>
    </row>
    <row r="8317" spans="1:2" x14ac:dyDescent="0.35">
      <c r="B8317"/>
    </row>
    <row r="8318" spans="1:2" x14ac:dyDescent="0.35">
      <c r="B8318"/>
    </row>
    <row r="8319" spans="1:2" x14ac:dyDescent="0.35">
      <c r="B8319"/>
    </row>
    <row r="8320" spans="1:2" x14ac:dyDescent="0.35">
      <c r="B8320"/>
    </row>
    <row r="8321" spans="1:2" x14ac:dyDescent="0.35">
      <c r="B8321"/>
    </row>
    <row r="8322" spans="1:2" x14ac:dyDescent="0.35">
      <c r="B8322"/>
    </row>
    <row r="8323" spans="1:2" x14ac:dyDescent="0.35">
      <c r="B8323"/>
    </row>
    <row r="8324" spans="1:2" ht="15.5" x14ac:dyDescent="0.35">
      <c r="A8324" s="49"/>
      <c r="B8324"/>
    </row>
    <row r="8325" spans="1:2" x14ac:dyDescent="0.35">
      <c r="B8325"/>
    </row>
    <row r="8326" spans="1:2" x14ac:dyDescent="0.35">
      <c r="B8326"/>
    </row>
    <row r="8327" spans="1:2" x14ac:dyDescent="0.35">
      <c r="B8327"/>
    </row>
    <row r="8328" spans="1:2" x14ac:dyDescent="0.35">
      <c r="B8328"/>
    </row>
    <row r="8329" spans="1:2" x14ac:dyDescent="0.35">
      <c r="B8329"/>
    </row>
    <row r="8330" spans="1:2" x14ac:dyDescent="0.35">
      <c r="B8330"/>
    </row>
    <row r="8331" spans="1:2" x14ac:dyDescent="0.35">
      <c r="B8331"/>
    </row>
    <row r="8332" spans="1:2" x14ac:dyDescent="0.35">
      <c r="B8332"/>
    </row>
    <row r="8333" spans="1:2" x14ac:dyDescent="0.35">
      <c r="B8333"/>
    </row>
    <row r="8334" spans="1:2" x14ac:dyDescent="0.35">
      <c r="B8334"/>
    </row>
    <row r="8335" spans="1:2" x14ac:dyDescent="0.35">
      <c r="B8335"/>
    </row>
    <row r="8336" spans="1:2" ht="15.5" x14ac:dyDescent="0.35">
      <c r="A8336" s="49"/>
      <c r="B8336" s="49"/>
    </row>
    <row r="8337" spans="1:2" x14ac:dyDescent="0.35">
      <c r="B8337"/>
    </row>
    <row r="8338" spans="1:2" x14ac:dyDescent="0.35">
      <c r="B8338"/>
    </row>
    <row r="8339" spans="1:2" x14ac:dyDescent="0.35">
      <c r="B8339"/>
    </row>
    <row r="8340" spans="1:2" x14ac:dyDescent="0.35">
      <c r="B8340"/>
    </row>
    <row r="8341" spans="1:2" x14ac:dyDescent="0.35">
      <c r="B8341"/>
    </row>
    <row r="8342" spans="1:2" x14ac:dyDescent="0.35">
      <c r="B8342"/>
    </row>
    <row r="8343" spans="1:2" x14ac:dyDescent="0.35">
      <c r="B8343"/>
    </row>
    <row r="8344" spans="1:2" x14ac:dyDescent="0.35">
      <c r="B8344"/>
    </row>
    <row r="8345" spans="1:2" x14ac:dyDescent="0.35">
      <c r="B8345"/>
    </row>
    <row r="8346" spans="1:2" ht="15.5" x14ac:dyDescent="0.35">
      <c r="A8346" s="49"/>
      <c r="B8346"/>
    </row>
    <row r="8347" spans="1:2" x14ac:dyDescent="0.35">
      <c r="B8347"/>
    </row>
    <row r="8348" spans="1:2" x14ac:dyDescent="0.35">
      <c r="B8348"/>
    </row>
    <row r="8349" spans="1:2" x14ac:dyDescent="0.35">
      <c r="B8349"/>
    </row>
    <row r="8350" spans="1:2" x14ac:dyDescent="0.35">
      <c r="B8350"/>
    </row>
    <row r="8351" spans="1:2" x14ac:dyDescent="0.35">
      <c r="B8351"/>
    </row>
    <row r="8352" spans="1:2" x14ac:dyDescent="0.35">
      <c r="B8352"/>
    </row>
    <row r="8353" spans="2:2" x14ac:dyDescent="0.35">
      <c r="B8353"/>
    </row>
    <row r="8354" spans="2:2" x14ac:dyDescent="0.35">
      <c r="B8354"/>
    </row>
    <row r="8355" spans="2:2" x14ac:dyDescent="0.35">
      <c r="B8355"/>
    </row>
    <row r="8356" spans="2:2" x14ac:dyDescent="0.35">
      <c r="B8356"/>
    </row>
    <row r="8357" spans="2:2" x14ac:dyDescent="0.35">
      <c r="B8357"/>
    </row>
    <row r="8358" spans="2:2" x14ac:dyDescent="0.35">
      <c r="B8358"/>
    </row>
    <row r="8359" spans="2:2" x14ac:dyDescent="0.35">
      <c r="B8359"/>
    </row>
    <row r="8360" spans="2:2" x14ac:dyDescent="0.35">
      <c r="B8360"/>
    </row>
    <row r="8361" spans="2:2" x14ac:dyDescent="0.35">
      <c r="B8361"/>
    </row>
    <row r="8362" spans="2:2" x14ac:dyDescent="0.35">
      <c r="B8362"/>
    </row>
    <row r="8363" spans="2:2" x14ac:dyDescent="0.35">
      <c r="B8363"/>
    </row>
    <row r="8364" spans="2:2" x14ac:dyDescent="0.35">
      <c r="B8364"/>
    </row>
    <row r="8365" spans="2:2" x14ac:dyDescent="0.35">
      <c r="B8365"/>
    </row>
    <row r="8366" spans="2:2" x14ac:dyDescent="0.35">
      <c r="B8366"/>
    </row>
    <row r="8367" spans="2:2" x14ac:dyDescent="0.35">
      <c r="B8367"/>
    </row>
    <row r="8368" spans="2:2" x14ac:dyDescent="0.35">
      <c r="B8368"/>
    </row>
    <row r="8369" spans="1:2" x14ac:dyDescent="0.35">
      <c r="B8369"/>
    </row>
    <row r="8370" spans="1:2" x14ac:dyDescent="0.35">
      <c r="B8370"/>
    </row>
    <row r="8371" spans="1:2" x14ac:dyDescent="0.35">
      <c r="B8371"/>
    </row>
    <row r="8372" spans="1:2" x14ac:dyDescent="0.35">
      <c r="B8372"/>
    </row>
    <row r="8373" spans="1:2" x14ac:dyDescent="0.35">
      <c r="B8373"/>
    </row>
    <row r="8374" spans="1:2" x14ac:dyDescent="0.35">
      <c r="B8374"/>
    </row>
    <row r="8375" spans="1:2" x14ac:dyDescent="0.35">
      <c r="B8375"/>
    </row>
    <row r="8376" spans="1:2" x14ac:dyDescent="0.35">
      <c r="B8376"/>
    </row>
    <row r="8377" spans="1:2" x14ac:dyDescent="0.35">
      <c r="B8377"/>
    </row>
    <row r="8378" spans="1:2" x14ac:dyDescent="0.35">
      <c r="B8378"/>
    </row>
    <row r="8379" spans="1:2" x14ac:dyDescent="0.35">
      <c r="B8379"/>
    </row>
    <row r="8380" spans="1:2" x14ac:dyDescent="0.35">
      <c r="B8380"/>
    </row>
    <row r="8381" spans="1:2" ht="15.5" x14ac:dyDescent="0.35">
      <c r="A8381" s="49"/>
      <c r="B8381" s="49"/>
    </row>
    <row r="8382" spans="1:2" x14ac:dyDescent="0.35">
      <c r="B8382"/>
    </row>
    <row r="8383" spans="1:2" x14ac:dyDescent="0.35">
      <c r="B8383"/>
    </row>
    <row r="8384" spans="1:2" x14ac:dyDescent="0.35">
      <c r="B8384"/>
    </row>
    <row r="8385" spans="1:2" x14ac:dyDescent="0.35">
      <c r="B8385"/>
    </row>
    <row r="8386" spans="1:2" x14ac:dyDescent="0.35">
      <c r="B8386"/>
    </row>
    <row r="8387" spans="1:2" x14ac:dyDescent="0.35">
      <c r="B8387"/>
    </row>
    <row r="8388" spans="1:2" x14ac:dyDescent="0.35">
      <c r="B8388"/>
    </row>
    <row r="8389" spans="1:2" x14ac:dyDescent="0.35">
      <c r="B8389"/>
    </row>
    <row r="8390" spans="1:2" x14ac:dyDescent="0.35">
      <c r="B8390"/>
    </row>
    <row r="8391" spans="1:2" ht="15.5" x14ac:dyDescent="0.35">
      <c r="A8391" s="49"/>
      <c r="B8391"/>
    </row>
    <row r="8392" spans="1:2" x14ac:dyDescent="0.35">
      <c r="B8392"/>
    </row>
    <row r="8393" spans="1:2" x14ac:dyDescent="0.35">
      <c r="B8393"/>
    </row>
    <row r="8394" spans="1:2" x14ac:dyDescent="0.35">
      <c r="B8394"/>
    </row>
    <row r="8395" spans="1:2" x14ac:dyDescent="0.35">
      <c r="B8395"/>
    </row>
    <row r="8396" spans="1:2" x14ac:dyDescent="0.35">
      <c r="B8396"/>
    </row>
    <row r="8397" spans="1:2" x14ac:dyDescent="0.35">
      <c r="B8397"/>
    </row>
    <row r="8398" spans="1:2" x14ac:dyDescent="0.35">
      <c r="B8398"/>
    </row>
    <row r="8399" spans="1:2" x14ac:dyDescent="0.35">
      <c r="B8399"/>
    </row>
    <row r="8400" spans="1:2" x14ac:dyDescent="0.35">
      <c r="B8400"/>
    </row>
    <row r="8401" spans="2:2" x14ac:dyDescent="0.35">
      <c r="B8401"/>
    </row>
    <row r="8402" spans="2:2" x14ac:dyDescent="0.35">
      <c r="B8402"/>
    </row>
    <row r="8403" spans="2:2" x14ac:dyDescent="0.35">
      <c r="B8403"/>
    </row>
    <row r="8404" spans="2:2" x14ac:dyDescent="0.35">
      <c r="B8404"/>
    </row>
    <row r="8405" spans="2:2" x14ac:dyDescent="0.35">
      <c r="B8405"/>
    </row>
    <row r="8406" spans="2:2" x14ac:dyDescent="0.35">
      <c r="B8406"/>
    </row>
    <row r="8407" spans="2:2" x14ac:dyDescent="0.35">
      <c r="B8407"/>
    </row>
    <row r="8408" spans="2:2" x14ac:dyDescent="0.35">
      <c r="B8408"/>
    </row>
    <row r="8409" spans="2:2" x14ac:dyDescent="0.35">
      <c r="B8409"/>
    </row>
    <row r="8410" spans="2:2" x14ac:dyDescent="0.35">
      <c r="B8410"/>
    </row>
    <row r="8411" spans="2:2" x14ac:dyDescent="0.35">
      <c r="B8411"/>
    </row>
    <row r="8412" spans="2:2" x14ac:dyDescent="0.35">
      <c r="B8412"/>
    </row>
    <row r="8413" spans="2:2" x14ac:dyDescent="0.35">
      <c r="B8413"/>
    </row>
    <row r="8414" spans="2:2" x14ac:dyDescent="0.35">
      <c r="B8414"/>
    </row>
    <row r="8415" spans="2:2" x14ac:dyDescent="0.35">
      <c r="B8415"/>
    </row>
    <row r="8416" spans="2:2" x14ac:dyDescent="0.35">
      <c r="B8416"/>
    </row>
    <row r="8417" spans="2:2" x14ac:dyDescent="0.35">
      <c r="B8417"/>
    </row>
    <row r="8418" spans="2:2" x14ac:dyDescent="0.35">
      <c r="B8418"/>
    </row>
    <row r="8419" spans="2:2" x14ac:dyDescent="0.35">
      <c r="B8419"/>
    </row>
    <row r="8420" spans="2:2" x14ac:dyDescent="0.35">
      <c r="B8420"/>
    </row>
    <row r="8421" spans="2:2" x14ac:dyDescent="0.35">
      <c r="B8421"/>
    </row>
    <row r="8422" spans="2:2" x14ac:dyDescent="0.35">
      <c r="B8422"/>
    </row>
    <row r="8423" spans="2:2" x14ac:dyDescent="0.35">
      <c r="B8423"/>
    </row>
    <row r="8424" spans="2:2" x14ac:dyDescent="0.35">
      <c r="B8424"/>
    </row>
    <row r="8425" spans="2:2" x14ac:dyDescent="0.35">
      <c r="B8425"/>
    </row>
    <row r="8426" spans="2:2" x14ac:dyDescent="0.35">
      <c r="B8426"/>
    </row>
    <row r="8427" spans="2:2" x14ac:dyDescent="0.35">
      <c r="B8427"/>
    </row>
    <row r="8428" spans="2:2" x14ac:dyDescent="0.35">
      <c r="B8428"/>
    </row>
    <row r="8429" spans="2:2" x14ac:dyDescent="0.35">
      <c r="B8429"/>
    </row>
    <row r="8430" spans="2:2" x14ac:dyDescent="0.35">
      <c r="B8430"/>
    </row>
    <row r="8431" spans="2:2" x14ac:dyDescent="0.35">
      <c r="B8431"/>
    </row>
    <row r="8432" spans="2:2" x14ac:dyDescent="0.35">
      <c r="B8432"/>
    </row>
    <row r="8433" spans="1:2" x14ac:dyDescent="0.35">
      <c r="B8433"/>
    </row>
    <row r="8434" spans="1:2" x14ac:dyDescent="0.35">
      <c r="B8434"/>
    </row>
    <row r="8435" spans="1:2" x14ac:dyDescent="0.35">
      <c r="B8435"/>
    </row>
    <row r="8436" spans="1:2" ht="15.5" x14ac:dyDescent="0.35">
      <c r="A8436" s="49"/>
      <c r="B8436" s="49"/>
    </row>
    <row r="8437" spans="1:2" x14ac:dyDescent="0.35">
      <c r="B8437"/>
    </row>
    <row r="8438" spans="1:2" x14ac:dyDescent="0.35">
      <c r="B8438"/>
    </row>
    <row r="8439" spans="1:2" x14ac:dyDescent="0.35">
      <c r="B8439"/>
    </row>
    <row r="8440" spans="1:2" x14ac:dyDescent="0.35">
      <c r="B8440"/>
    </row>
    <row r="8441" spans="1:2" x14ac:dyDescent="0.35">
      <c r="B8441"/>
    </row>
    <row r="8442" spans="1:2" x14ac:dyDescent="0.35">
      <c r="B8442"/>
    </row>
    <row r="8443" spans="1:2" x14ac:dyDescent="0.35">
      <c r="B8443"/>
    </row>
    <row r="8444" spans="1:2" x14ac:dyDescent="0.35">
      <c r="B8444"/>
    </row>
    <row r="8445" spans="1:2" x14ac:dyDescent="0.35">
      <c r="B8445"/>
    </row>
    <row r="8446" spans="1:2" ht="15.5" x14ac:dyDescent="0.35">
      <c r="A8446" s="49"/>
      <c r="B8446"/>
    </row>
    <row r="8447" spans="1:2" x14ac:dyDescent="0.35">
      <c r="B8447"/>
    </row>
    <row r="8448" spans="1:2" x14ac:dyDescent="0.35">
      <c r="B8448"/>
    </row>
    <row r="8449" spans="2:2" x14ac:dyDescent="0.35">
      <c r="B8449"/>
    </row>
    <row r="8450" spans="2:2" x14ac:dyDescent="0.35">
      <c r="B8450"/>
    </row>
    <row r="8451" spans="2:2" x14ac:dyDescent="0.35">
      <c r="B8451"/>
    </row>
    <row r="8452" spans="2:2" x14ac:dyDescent="0.35">
      <c r="B8452"/>
    </row>
    <row r="8453" spans="2:2" x14ac:dyDescent="0.35">
      <c r="B8453"/>
    </row>
    <row r="8454" spans="2:2" x14ac:dyDescent="0.35">
      <c r="B8454"/>
    </row>
    <row r="8455" spans="2:2" x14ac:dyDescent="0.35">
      <c r="B8455"/>
    </row>
    <row r="8456" spans="2:2" x14ac:dyDescent="0.35">
      <c r="B8456"/>
    </row>
    <row r="8457" spans="2:2" x14ac:dyDescent="0.35">
      <c r="B8457"/>
    </row>
    <row r="8458" spans="2:2" x14ac:dyDescent="0.35">
      <c r="B8458"/>
    </row>
    <row r="8459" spans="2:2" x14ac:dyDescent="0.35">
      <c r="B8459"/>
    </row>
    <row r="8460" spans="2:2" x14ac:dyDescent="0.35">
      <c r="B8460"/>
    </row>
    <row r="8461" spans="2:2" x14ac:dyDescent="0.35">
      <c r="B8461"/>
    </row>
    <row r="8462" spans="2:2" x14ac:dyDescent="0.35">
      <c r="B8462"/>
    </row>
    <row r="8463" spans="2:2" x14ac:dyDescent="0.35">
      <c r="B8463"/>
    </row>
    <row r="8464" spans="2:2" x14ac:dyDescent="0.35">
      <c r="B8464"/>
    </row>
    <row r="8465" spans="2:2" x14ac:dyDescent="0.35">
      <c r="B8465"/>
    </row>
    <row r="8466" spans="2:2" x14ac:dyDescent="0.35">
      <c r="B8466"/>
    </row>
    <row r="8467" spans="2:2" x14ac:dyDescent="0.35">
      <c r="B8467"/>
    </row>
    <row r="8468" spans="2:2" x14ac:dyDescent="0.35">
      <c r="B8468"/>
    </row>
    <row r="8469" spans="2:2" x14ac:dyDescent="0.35">
      <c r="B8469"/>
    </row>
    <row r="8470" spans="2:2" x14ac:dyDescent="0.35">
      <c r="B8470"/>
    </row>
    <row r="8471" spans="2:2" x14ac:dyDescent="0.35">
      <c r="B8471"/>
    </row>
    <row r="8472" spans="2:2" x14ac:dyDescent="0.35">
      <c r="B8472"/>
    </row>
    <row r="8473" spans="2:2" x14ac:dyDescent="0.35">
      <c r="B8473"/>
    </row>
    <row r="8474" spans="2:2" x14ac:dyDescent="0.35">
      <c r="B8474"/>
    </row>
    <row r="8475" spans="2:2" x14ac:dyDescent="0.35">
      <c r="B8475"/>
    </row>
    <row r="8476" spans="2:2" x14ac:dyDescent="0.35">
      <c r="B8476"/>
    </row>
    <row r="8477" spans="2:2" x14ac:dyDescent="0.35">
      <c r="B8477"/>
    </row>
    <row r="8478" spans="2:2" x14ac:dyDescent="0.35">
      <c r="B8478"/>
    </row>
    <row r="8479" spans="2:2" x14ac:dyDescent="0.35">
      <c r="B8479"/>
    </row>
    <row r="8480" spans="2:2" x14ac:dyDescent="0.35">
      <c r="B8480"/>
    </row>
    <row r="8481" spans="1:2" x14ac:dyDescent="0.35">
      <c r="B8481"/>
    </row>
    <row r="8482" spans="1:2" x14ac:dyDescent="0.35">
      <c r="B8482"/>
    </row>
    <row r="8483" spans="1:2" x14ac:dyDescent="0.35">
      <c r="B8483"/>
    </row>
    <row r="8484" spans="1:2" x14ac:dyDescent="0.35">
      <c r="B8484"/>
    </row>
    <row r="8485" spans="1:2" x14ac:dyDescent="0.35">
      <c r="B8485"/>
    </row>
    <row r="8486" spans="1:2" x14ac:dyDescent="0.35">
      <c r="B8486"/>
    </row>
    <row r="8487" spans="1:2" x14ac:dyDescent="0.35">
      <c r="B8487"/>
    </row>
    <row r="8488" spans="1:2" x14ac:dyDescent="0.35">
      <c r="B8488"/>
    </row>
    <row r="8489" spans="1:2" x14ac:dyDescent="0.35">
      <c r="B8489"/>
    </row>
    <row r="8490" spans="1:2" x14ac:dyDescent="0.35">
      <c r="B8490"/>
    </row>
    <row r="8491" spans="1:2" ht="15.5" x14ac:dyDescent="0.35">
      <c r="A8491" s="49"/>
      <c r="B8491" s="49"/>
    </row>
    <row r="8492" spans="1:2" x14ac:dyDescent="0.35">
      <c r="B8492"/>
    </row>
    <row r="8493" spans="1:2" x14ac:dyDescent="0.35">
      <c r="B8493"/>
    </row>
    <row r="8494" spans="1:2" x14ac:dyDescent="0.35">
      <c r="B8494"/>
    </row>
    <row r="8495" spans="1:2" x14ac:dyDescent="0.35">
      <c r="B8495"/>
    </row>
    <row r="8496" spans="1:2" x14ac:dyDescent="0.35">
      <c r="B8496"/>
    </row>
    <row r="8497" spans="1:2" x14ac:dyDescent="0.35">
      <c r="B8497"/>
    </row>
    <row r="8498" spans="1:2" x14ac:dyDescent="0.35">
      <c r="B8498"/>
    </row>
    <row r="8499" spans="1:2" x14ac:dyDescent="0.35">
      <c r="B8499"/>
    </row>
    <row r="8500" spans="1:2" x14ac:dyDescent="0.35">
      <c r="B8500"/>
    </row>
    <row r="8501" spans="1:2" ht="15.5" x14ac:dyDescent="0.35">
      <c r="A8501" s="49"/>
      <c r="B8501"/>
    </row>
    <row r="8502" spans="1:2" x14ac:dyDescent="0.35">
      <c r="B8502"/>
    </row>
    <row r="8503" spans="1:2" x14ac:dyDescent="0.35">
      <c r="B8503"/>
    </row>
    <row r="8504" spans="1:2" x14ac:dyDescent="0.35">
      <c r="B8504"/>
    </row>
    <row r="8505" spans="1:2" x14ac:dyDescent="0.35">
      <c r="B8505"/>
    </row>
    <row r="8506" spans="1:2" x14ac:dyDescent="0.35">
      <c r="B8506"/>
    </row>
    <row r="8507" spans="1:2" x14ac:dyDescent="0.35">
      <c r="B8507"/>
    </row>
    <row r="8508" spans="1:2" x14ac:dyDescent="0.35">
      <c r="B8508"/>
    </row>
    <row r="8509" spans="1:2" x14ac:dyDescent="0.35">
      <c r="B8509"/>
    </row>
    <row r="8510" spans="1:2" x14ac:dyDescent="0.35">
      <c r="B8510"/>
    </row>
    <row r="8511" spans="1:2" x14ac:dyDescent="0.35">
      <c r="B8511"/>
    </row>
    <row r="8512" spans="1:2" x14ac:dyDescent="0.35">
      <c r="B8512"/>
    </row>
    <row r="8513" spans="2:2" x14ac:dyDescent="0.35">
      <c r="B8513"/>
    </row>
    <row r="8514" spans="2:2" x14ac:dyDescent="0.35">
      <c r="B8514"/>
    </row>
    <row r="8515" spans="2:2" x14ac:dyDescent="0.35">
      <c r="B8515"/>
    </row>
    <row r="8516" spans="2:2" x14ac:dyDescent="0.35">
      <c r="B8516"/>
    </row>
    <row r="8517" spans="2:2" x14ac:dyDescent="0.35">
      <c r="B8517"/>
    </row>
    <row r="8518" spans="2:2" x14ac:dyDescent="0.35">
      <c r="B8518"/>
    </row>
    <row r="8519" spans="2:2" x14ac:dyDescent="0.35">
      <c r="B8519"/>
    </row>
    <row r="8520" spans="2:2" x14ac:dyDescent="0.35">
      <c r="B8520"/>
    </row>
    <row r="8521" spans="2:2" x14ac:dyDescent="0.35">
      <c r="B8521"/>
    </row>
    <row r="8522" spans="2:2" x14ac:dyDescent="0.35">
      <c r="B8522"/>
    </row>
    <row r="8523" spans="2:2" x14ac:dyDescent="0.35">
      <c r="B8523"/>
    </row>
    <row r="8524" spans="2:2" x14ac:dyDescent="0.35">
      <c r="B8524"/>
    </row>
    <row r="8525" spans="2:2" x14ac:dyDescent="0.35">
      <c r="B8525"/>
    </row>
    <row r="8526" spans="2:2" x14ac:dyDescent="0.35">
      <c r="B8526"/>
    </row>
    <row r="8527" spans="2:2" x14ac:dyDescent="0.35">
      <c r="B8527"/>
    </row>
    <row r="8528" spans="2:2" x14ac:dyDescent="0.35">
      <c r="B8528"/>
    </row>
    <row r="8529" spans="2:2" x14ac:dyDescent="0.35">
      <c r="B8529"/>
    </row>
    <row r="8530" spans="2:2" x14ac:dyDescent="0.35">
      <c r="B8530"/>
    </row>
    <row r="8531" spans="2:2" x14ac:dyDescent="0.35">
      <c r="B8531"/>
    </row>
    <row r="8532" spans="2:2" x14ac:dyDescent="0.35">
      <c r="B8532"/>
    </row>
    <row r="8533" spans="2:2" x14ac:dyDescent="0.35">
      <c r="B8533"/>
    </row>
    <row r="8534" spans="2:2" x14ac:dyDescent="0.35">
      <c r="B8534"/>
    </row>
    <row r="8535" spans="2:2" x14ac:dyDescent="0.35">
      <c r="B8535"/>
    </row>
    <row r="8536" spans="2:2" x14ac:dyDescent="0.35">
      <c r="B8536"/>
    </row>
    <row r="8537" spans="2:2" x14ac:dyDescent="0.35">
      <c r="B8537"/>
    </row>
    <row r="8538" spans="2:2" x14ac:dyDescent="0.35">
      <c r="B8538"/>
    </row>
    <row r="8539" spans="2:2" x14ac:dyDescent="0.35">
      <c r="B8539"/>
    </row>
    <row r="8540" spans="2:2" x14ac:dyDescent="0.35">
      <c r="B8540"/>
    </row>
    <row r="8541" spans="2:2" x14ac:dyDescent="0.35">
      <c r="B8541"/>
    </row>
    <row r="8542" spans="2:2" x14ac:dyDescent="0.35">
      <c r="B8542"/>
    </row>
    <row r="8543" spans="2:2" x14ac:dyDescent="0.35">
      <c r="B8543"/>
    </row>
    <row r="8544" spans="2:2" x14ac:dyDescent="0.35">
      <c r="B8544"/>
    </row>
    <row r="8545" spans="1:2" x14ac:dyDescent="0.35">
      <c r="B8545"/>
    </row>
    <row r="8546" spans="1:2" ht="15.5" x14ac:dyDescent="0.35">
      <c r="A8546" s="49"/>
      <c r="B8546" s="49"/>
    </row>
    <row r="8547" spans="1:2" x14ac:dyDescent="0.35">
      <c r="B8547"/>
    </row>
    <row r="8548" spans="1:2" x14ac:dyDescent="0.35">
      <c r="B8548"/>
    </row>
    <row r="8549" spans="1:2" x14ac:dyDescent="0.35">
      <c r="B8549"/>
    </row>
    <row r="8550" spans="1:2" x14ac:dyDescent="0.35">
      <c r="B8550"/>
    </row>
    <row r="8551" spans="1:2" x14ac:dyDescent="0.35">
      <c r="B8551"/>
    </row>
    <row r="8552" spans="1:2" x14ac:dyDescent="0.35">
      <c r="B8552"/>
    </row>
    <row r="8553" spans="1:2" x14ac:dyDescent="0.35">
      <c r="B8553"/>
    </row>
    <row r="8554" spans="1:2" x14ac:dyDescent="0.35">
      <c r="B8554"/>
    </row>
    <row r="8555" spans="1:2" x14ac:dyDescent="0.35">
      <c r="B8555"/>
    </row>
    <row r="8556" spans="1:2" ht="15.5" x14ac:dyDescent="0.35">
      <c r="A8556" s="49"/>
      <c r="B8556"/>
    </row>
    <row r="8557" spans="1:2" x14ac:dyDescent="0.35">
      <c r="B8557"/>
    </row>
    <row r="8558" spans="1:2" x14ac:dyDescent="0.35">
      <c r="B8558"/>
    </row>
    <row r="8559" spans="1:2" x14ac:dyDescent="0.35">
      <c r="B8559"/>
    </row>
    <row r="8560" spans="1:2" x14ac:dyDescent="0.35">
      <c r="B8560"/>
    </row>
    <row r="8561" spans="2:2" x14ac:dyDescent="0.35">
      <c r="B8561"/>
    </row>
    <row r="8562" spans="2:2" x14ac:dyDescent="0.35">
      <c r="B8562"/>
    </row>
    <row r="8563" spans="2:2" x14ac:dyDescent="0.35">
      <c r="B8563"/>
    </row>
    <row r="8564" spans="2:2" x14ac:dyDescent="0.35">
      <c r="B8564"/>
    </row>
    <row r="8565" spans="2:2" x14ac:dyDescent="0.35">
      <c r="B8565"/>
    </row>
    <row r="8566" spans="2:2" x14ac:dyDescent="0.35">
      <c r="B8566"/>
    </row>
    <row r="8567" spans="2:2" x14ac:dyDescent="0.35">
      <c r="B8567"/>
    </row>
    <row r="8568" spans="2:2" x14ac:dyDescent="0.35">
      <c r="B8568"/>
    </row>
    <row r="8569" spans="2:2" x14ac:dyDescent="0.35">
      <c r="B8569"/>
    </row>
    <row r="8570" spans="2:2" x14ac:dyDescent="0.35">
      <c r="B8570"/>
    </row>
    <row r="8571" spans="2:2" x14ac:dyDescent="0.35">
      <c r="B8571"/>
    </row>
    <row r="8572" spans="2:2" x14ac:dyDescent="0.35">
      <c r="B8572"/>
    </row>
    <row r="8573" spans="2:2" x14ac:dyDescent="0.35">
      <c r="B8573"/>
    </row>
    <row r="8574" spans="2:2" x14ac:dyDescent="0.35">
      <c r="B8574"/>
    </row>
    <row r="8575" spans="2:2" x14ac:dyDescent="0.35">
      <c r="B8575"/>
    </row>
    <row r="8576" spans="2:2" x14ac:dyDescent="0.35">
      <c r="B8576"/>
    </row>
    <row r="8577" spans="2:2" x14ac:dyDescent="0.35">
      <c r="B8577"/>
    </row>
    <row r="8578" spans="2:2" x14ac:dyDescent="0.35">
      <c r="B8578"/>
    </row>
    <row r="8579" spans="2:2" x14ac:dyDescent="0.35">
      <c r="B8579"/>
    </row>
    <row r="8580" spans="2:2" x14ac:dyDescent="0.35">
      <c r="B8580"/>
    </row>
    <row r="8581" spans="2:2" x14ac:dyDescent="0.35">
      <c r="B8581"/>
    </row>
    <row r="8582" spans="2:2" x14ac:dyDescent="0.35">
      <c r="B8582"/>
    </row>
    <row r="8583" spans="2:2" x14ac:dyDescent="0.35">
      <c r="B8583"/>
    </row>
    <row r="8584" spans="2:2" x14ac:dyDescent="0.35">
      <c r="B8584"/>
    </row>
    <row r="8585" spans="2:2" x14ac:dyDescent="0.35">
      <c r="B8585"/>
    </row>
    <row r="8586" spans="2:2" x14ac:dyDescent="0.35">
      <c r="B8586"/>
    </row>
    <row r="8587" spans="2:2" x14ac:dyDescent="0.35">
      <c r="B8587"/>
    </row>
    <row r="8588" spans="2:2" x14ac:dyDescent="0.35">
      <c r="B8588"/>
    </row>
    <row r="8589" spans="2:2" x14ac:dyDescent="0.35">
      <c r="B8589"/>
    </row>
    <row r="8590" spans="2:2" x14ac:dyDescent="0.35">
      <c r="B8590"/>
    </row>
    <row r="8591" spans="2:2" x14ac:dyDescent="0.35">
      <c r="B8591"/>
    </row>
    <row r="8592" spans="2:2" x14ac:dyDescent="0.35">
      <c r="B8592"/>
    </row>
    <row r="8593" spans="1:2" x14ac:dyDescent="0.35">
      <c r="B8593"/>
    </row>
    <row r="8594" spans="1:2" x14ac:dyDescent="0.35">
      <c r="B8594"/>
    </row>
    <row r="8595" spans="1:2" x14ac:dyDescent="0.35">
      <c r="B8595"/>
    </row>
    <row r="8596" spans="1:2" x14ac:dyDescent="0.35">
      <c r="B8596"/>
    </row>
    <row r="8597" spans="1:2" x14ac:dyDescent="0.35">
      <c r="B8597"/>
    </row>
    <row r="8598" spans="1:2" x14ac:dyDescent="0.35">
      <c r="B8598"/>
    </row>
    <row r="8599" spans="1:2" x14ac:dyDescent="0.35">
      <c r="B8599"/>
    </row>
    <row r="8600" spans="1:2" x14ac:dyDescent="0.35">
      <c r="B8600"/>
    </row>
    <row r="8601" spans="1:2" ht="15.5" x14ac:dyDescent="0.35">
      <c r="A8601" s="49"/>
      <c r="B8601" s="49"/>
    </row>
    <row r="8602" spans="1:2" x14ac:dyDescent="0.35">
      <c r="B8602"/>
    </row>
    <row r="8603" spans="1:2" x14ac:dyDescent="0.35">
      <c r="B8603"/>
    </row>
    <row r="8604" spans="1:2" x14ac:dyDescent="0.35">
      <c r="B8604"/>
    </row>
    <row r="8605" spans="1:2" x14ac:dyDescent="0.35">
      <c r="B8605"/>
    </row>
    <row r="8606" spans="1:2" x14ac:dyDescent="0.35">
      <c r="B8606"/>
    </row>
    <row r="8607" spans="1:2" x14ac:dyDescent="0.35">
      <c r="B8607"/>
    </row>
    <row r="8608" spans="1:2" x14ac:dyDescent="0.35">
      <c r="B8608"/>
    </row>
    <row r="8609" spans="1:2" x14ac:dyDescent="0.35">
      <c r="B8609"/>
    </row>
    <row r="8610" spans="1:2" x14ac:dyDescent="0.35">
      <c r="B8610"/>
    </row>
    <row r="8611" spans="1:2" ht="15.5" x14ac:dyDescent="0.35">
      <c r="A8611" s="49"/>
      <c r="B8611"/>
    </row>
    <row r="8612" spans="1:2" x14ac:dyDescent="0.35">
      <c r="B8612"/>
    </row>
    <row r="8613" spans="1:2" x14ac:dyDescent="0.35">
      <c r="B8613"/>
    </row>
    <row r="8614" spans="1:2" x14ac:dyDescent="0.35">
      <c r="B8614"/>
    </row>
    <row r="8615" spans="1:2" x14ac:dyDescent="0.35">
      <c r="B8615"/>
    </row>
    <row r="8616" spans="1:2" x14ac:dyDescent="0.35">
      <c r="B8616"/>
    </row>
    <row r="8617" spans="1:2" x14ac:dyDescent="0.35">
      <c r="B8617"/>
    </row>
    <row r="8618" spans="1:2" x14ac:dyDescent="0.35">
      <c r="B8618"/>
    </row>
    <row r="8619" spans="1:2" x14ac:dyDescent="0.35">
      <c r="B8619"/>
    </row>
    <row r="8620" spans="1:2" x14ac:dyDescent="0.35">
      <c r="B8620"/>
    </row>
    <row r="8621" spans="1:2" x14ac:dyDescent="0.35">
      <c r="B8621"/>
    </row>
    <row r="8622" spans="1:2" x14ac:dyDescent="0.35">
      <c r="B8622"/>
    </row>
    <row r="8623" spans="1:2" x14ac:dyDescent="0.35">
      <c r="B8623"/>
    </row>
    <row r="8624" spans="1:2" x14ac:dyDescent="0.35">
      <c r="B8624"/>
    </row>
    <row r="8625" spans="1:2" x14ac:dyDescent="0.35">
      <c r="B8625"/>
    </row>
    <row r="8626" spans="1:2" x14ac:dyDescent="0.35">
      <c r="B8626"/>
    </row>
    <row r="8627" spans="1:2" x14ac:dyDescent="0.35">
      <c r="B8627"/>
    </row>
    <row r="8628" spans="1:2" ht="15.5" x14ac:dyDescent="0.35">
      <c r="A8628" s="49"/>
      <c r="B8628" s="49"/>
    </row>
    <row r="8629" spans="1:2" x14ac:dyDescent="0.35">
      <c r="B8629"/>
    </row>
    <row r="8630" spans="1:2" x14ac:dyDescent="0.35">
      <c r="B8630"/>
    </row>
    <row r="8631" spans="1:2" x14ac:dyDescent="0.35">
      <c r="B8631"/>
    </row>
    <row r="8632" spans="1:2" x14ac:dyDescent="0.35">
      <c r="B8632"/>
    </row>
    <row r="8633" spans="1:2" x14ac:dyDescent="0.35">
      <c r="B8633"/>
    </row>
    <row r="8634" spans="1:2" x14ac:dyDescent="0.35">
      <c r="B8634"/>
    </row>
    <row r="8635" spans="1:2" x14ac:dyDescent="0.35">
      <c r="B8635"/>
    </row>
    <row r="8636" spans="1:2" x14ac:dyDescent="0.35">
      <c r="B8636"/>
    </row>
    <row r="8637" spans="1:2" x14ac:dyDescent="0.35">
      <c r="B8637"/>
    </row>
    <row r="8638" spans="1:2" ht="15.5" x14ac:dyDescent="0.35">
      <c r="A8638" s="49"/>
      <c r="B8638"/>
    </row>
    <row r="8639" spans="1:2" x14ac:dyDescent="0.35">
      <c r="B8639"/>
    </row>
    <row r="8640" spans="1:2" x14ac:dyDescent="0.35">
      <c r="B8640"/>
    </row>
    <row r="8641" spans="1:2" x14ac:dyDescent="0.35">
      <c r="B8641"/>
    </row>
    <row r="8642" spans="1:2" x14ac:dyDescent="0.35">
      <c r="B8642"/>
    </row>
    <row r="8643" spans="1:2" x14ac:dyDescent="0.35">
      <c r="B8643"/>
    </row>
    <row r="8644" spans="1:2" x14ac:dyDescent="0.35">
      <c r="B8644"/>
    </row>
    <row r="8645" spans="1:2" x14ac:dyDescent="0.35">
      <c r="B8645"/>
    </row>
    <row r="8646" spans="1:2" x14ac:dyDescent="0.35">
      <c r="B8646"/>
    </row>
    <row r="8647" spans="1:2" x14ac:dyDescent="0.35">
      <c r="B8647"/>
    </row>
    <row r="8648" spans="1:2" x14ac:dyDescent="0.35">
      <c r="B8648"/>
    </row>
    <row r="8649" spans="1:2" x14ac:dyDescent="0.35">
      <c r="B8649"/>
    </row>
    <row r="8650" spans="1:2" x14ac:dyDescent="0.35">
      <c r="B8650"/>
    </row>
    <row r="8651" spans="1:2" x14ac:dyDescent="0.35">
      <c r="B8651"/>
    </row>
    <row r="8652" spans="1:2" x14ac:dyDescent="0.35">
      <c r="B8652"/>
    </row>
    <row r="8653" spans="1:2" x14ac:dyDescent="0.35">
      <c r="B8653"/>
    </row>
    <row r="8654" spans="1:2" x14ac:dyDescent="0.35">
      <c r="B8654"/>
    </row>
    <row r="8655" spans="1:2" ht="15.5" x14ac:dyDescent="0.35">
      <c r="A8655" s="49"/>
      <c r="B8655" s="49"/>
    </row>
    <row r="8656" spans="1:2" x14ac:dyDescent="0.35">
      <c r="B8656"/>
    </row>
    <row r="8657" spans="1:2" x14ac:dyDescent="0.35">
      <c r="B8657"/>
    </row>
    <row r="8658" spans="1:2" x14ac:dyDescent="0.35">
      <c r="B8658"/>
    </row>
    <row r="8659" spans="1:2" x14ac:dyDescent="0.35">
      <c r="B8659"/>
    </row>
    <row r="8660" spans="1:2" x14ac:dyDescent="0.35">
      <c r="B8660"/>
    </row>
    <row r="8661" spans="1:2" x14ac:dyDescent="0.35">
      <c r="B8661"/>
    </row>
    <row r="8662" spans="1:2" x14ac:dyDescent="0.35">
      <c r="B8662"/>
    </row>
    <row r="8663" spans="1:2" x14ac:dyDescent="0.35">
      <c r="B8663"/>
    </row>
    <row r="8664" spans="1:2" x14ac:dyDescent="0.35">
      <c r="B8664"/>
    </row>
    <row r="8665" spans="1:2" ht="15.5" x14ac:dyDescent="0.35">
      <c r="A8665" s="49"/>
      <c r="B8665"/>
    </row>
    <row r="8666" spans="1:2" x14ac:dyDescent="0.35">
      <c r="B8666"/>
    </row>
    <row r="8667" spans="1:2" x14ac:dyDescent="0.35">
      <c r="B8667"/>
    </row>
    <row r="8668" spans="1:2" x14ac:dyDescent="0.35">
      <c r="B8668"/>
    </row>
    <row r="8669" spans="1:2" x14ac:dyDescent="0.35">
      <c r="B8669"/>
    </row>
    <row r="8670" spans="1:2" x14ac:dyDescent="0.35">
      <c r="B8670"/>
    </row>
    <row r="8671" spans="1:2" x14ac:dyDescent="0.35">
      <c r="B8671"/>
    </row>
    <row r="8672" spans="1:2" x14ac:dyDescent="0.35">
      <c r="B8672"/>
    </row>
    <row r="8673" spans="1:2" x14ac:dyDescent="0.35">
      <c r="B8673"/>
    </row>
    <row r="8674" spans="1:2" x14ac:dyDescent="0.35">
      <c r="B8674"/>
    </row>
    <row r="8675" spans="1:2" x14ac:dyDescent="0.35">
      <c r="B8675"/>
    </row>
    <row r="8676" spans="1:2" x14ac:dyDescent="0.35">
      <c r="B8676"/>
    </row>
    <row r="8677" spans="1:2" x14ac:dyDescent="0.35">
      <c r="B8677"/>
    </row>
    <row r="8678" spans="1:2" x14ac:dyDescent="0.35">
      <c r="B8678"/>
    </row>
    <row r="8679" spans="1:2" x14ac:dyDescent="0.35">
      <c r="B8679"/>
    </row>
    <row r="8680" spans="1:2" x14ac:dyDescent="0.35">
      <c r="B8680"/>
    </row>
    <row r="8681" spans="1:2" x14ac:dyDescent="0.35">
      <c r="B8681"/>
    </row>
    <row r="8682" spans="1:2" ht="15.5" x14ac:dyDescent="0.35">
      <c r="A8682" s="49"/>
      <c r="B8682" s="49"/>
    </row>
    <row r="8683" spans="1:2" x14ac:dyDescent="0.35">
      <c r="B8683"/>
    </row>
    <row r="8684" spans="1:2" x14ac:dyDescent="0.35">
      <c r="B8684"/>
    </row>
    <row r="8685" spans="1:2" x14ac:dyDescent="0.35">
      <c r="B8685"/>
    </row>
    <row r="8686" spans="1:2" x14ac:dyDescent="0.35">
      <c r="B8686"/>
    </row>
    <row r="8687" spans="1:2" x14ac:dyDescent="0.35">
      <c r="B8687"/>
    </row>
    <row r="8688" spans="1:2" x14ac:dyDescent="0.35">
      <c r="B8688"/>
    </row>
    <row r="8689" spans="1:2" x14ac:dyDescent="0.35">
      <c r="B8689"/>
    </row>
    <row r="8690" spans="1:2" x14ac:dyDescent="0.35">
      <c r="B8690"/>
    </row>
    <row r="8691" spans="1:2" x14ac:dyDescent="0.35">
      <c r="B8691"/>
    </row>
    <row r="8692" spans="1:2" ht="15.5" x14ac:dyDescent="0.35">
      <c r="A8692" s="49"/>
      <c r="B8692"/>
    </row>
    <row r="8693" spans="1:2" x14ac:dyDescent="0.35">
      <c r="B8693"/>
    </row>
    <row r="8694" spans="1:2" x14ac:dyDescent="0.35">
      <c r="B8694"/>
    </row>
    <row r="8695" spans="1:2" x14ac:dyDescent="0.35">
      <c r="B8695"/>
    </row>
    <row r="8696" spans="1:2" x14ac:dyDescent="0.35">
      <c r="B8696"/>
    </row>
    <row r="8697" spans="1:2" x14ac:dyDescent="0.35">
      <c r="B8697"/>
    </row>
    <row r="8698" spans="1:2" x14ac:dyDescent="0.35">
      <c r="B8698"/>
    </row>
    <row r="8699" spans="1:2" x14ac:dyDescent="0.35">
      <c r="B8699"/>
    </row>
    <row r="8700" spans="1:2" x14ac:dyDescent="0.35">
      <c r="B8700"/>
    </row>
    <row r="8701" spans="1:2" x14ac:dyDescent="0.35">
      <c r="B8701"/>
    </row>
    <row r="8702" spans="1:2" x14ac:dyDescent="0.35">
      <c r="B8702"/>
    </row>
    <row r="8703" spans="1:2" x14ac:dyDescent="0.35">
      <c r="B8703"/>
    </row>
    <row r="8704" spans="1:2" x14ac:dyDescent="0.35">
      <c r="B8704"/>
    </row>
    <row r="8705" spans="1:2" x14ac:dyDescent="0.35">
      <c r="B8705"/>
    </row>
    <row r="8706" spans="1:2" x14ac:dyDescent="0.35">
      <c r="B8706"/>
    </row>
    <row r="8707" spans="1:2" x14ac:dyDescent="0.35">
      <c r="B8707"/>
    </row>
    <row r="8708" spans="1:2" x14ac:dyDescent="0.35">
      <c r="B8708"/>
    </row>
    <row r="8709" spans="1:2" ht="15.5" x14ac:dyDescent="0.35">
      <c r="A8709" s="49"/>
      <c r="B8709" s="49"/>
    </row>
    <row r="8710" spans="1:2" x14ac:dyDescent="0.35">
      <c r="B8710"/>
    </row>
    <row r="8711" spans="1:2" x14ac:dyDescent="0.35">
      <c r="B8711"/>
    </row>
    <row r="8712" spans="1:2" x14ac:dyDescent="0.35">
      <c r="B8712"/>
    </row>
    <row r="8713" spans="1:2" x14ac:dyDescent="0.35">
      <c r="B8713"/>
    </row>
    <row r="8714" spans="1:2" x14ac:dyDescent="0.35">
      <c r="B8714"/>
    </row>
    <row r="8715" spans="1:2" x14ac:dyDescent="0.35">
      <c r="B8715"/>
    </row>
    <row r="8716" spans="1:2" x14ac:dyDescent="0.35">
      <c r="B8716"/>
    </row>
    <row r="8717" spans="1:2" x14ac:dyDescent="0.35">
      <c r="B8717"/>
    </row>
    <row r="8718" spans="1:2" x14ac:dyDescent="0.35">
      <c r="B8718"/>
    </row>
    <row r="8719" spans="1:2" ht="15.5" x14ac:dyDescent="0.35">
      <c r="A8719" s="49"/>
      <c r="B8719"/>
    </row>
    <row r="8720" spans="1:2" x14ac:dyDescent="0.35">
      <c r="B8720"/>
    </row>
    <row r="8721" spans="1:2" x14ac:dyDescent="0.35">
      <c r="B8721"/>
    </row>
    <row r="8722" spans="1:2" x14ac:dyDescent="0.35">
      <c r="B8722"/>
    </row>
    <row r="8723" spans="1:2" x14ac:dyDescent="0.35">
      <c r="B8723"/>
    </row>
    <row r="8724" spans="1:2" x14ac:dyDescent="0.35">
      <c r="B8724"/>
    </row>
    <row r="8725" spans="1:2" x14ac:dyDescent="0.35">
      <c r="B8725"/>
    </row>
    <row r="8726" spans="1:2" ht="15.5" x14ac:dyDescent="0.35">
      <c r="A8726" s="49"/>
      <c r="B8726" s="49"/>
    </row>
    <row r="8727" spans="1:2" x14ac:dyDescent="0.35">
      <c r="B8727"/>
    </row>
    <row r="8728" spans="1:2" x14ac:dyDescent="0.35">
      <c r="B8728"/>
    </row>
    <row r="8729" spans="1:2" x14ac:dyDescent="0.35">
      <c r="B8729"/>
    </row>
    <row r="8730" spans="1:2" x14ac:dyDescent="0.35">
      <c r="B8730"/>
    </row>
    <row r="8731" spans="1:2" x14ac:dyDescent="0.35">
      <c r="B8731"/>
    </row>
    <row r="8732" spans="1:2" x14ac:dyDescent="0.35">
      <c r="B8732"/>
    </row>
    <row r="8733" spans="1:2" x14ac:dyDescent="0.35">
      <c r="B8733"/>
    </row>
    <row r="8734" spans="1:2" x14ac:dyDescent="0.35">
      <c r="B8734"/>
    </row>
    <row r="8735" spans="1:2" x14ac:dyDescent="0.35">
      <c r="B8735"/>
    </row>
    <row r="8736" spans="1:2" ht="15.5" x14ac:dyDescent="0.35">
      <c r="A8736" s="49"/>
      <c r="B8736"/>
    </row>
    <row r="8737" spans="1:2" x14ac:dyDescent="0.35">
      <c r="B8737"/>
    </row>
    <row r="8738" spans="1:2" x14ac:dyDescent="0.35">
      <c r="B8738"/>
    </row>
    <row r="8739" spans="1:2" x14ac:dyDescent="0.35">
      <c r="B8739"/>
    </row>
    <row r="8740" spans="1:2" x14ac:dyDescent="0.35">
      <c r="B8740"/>
    </row>
    <row r="8741" spans="1:2" x14ac:dyDescent="0.35">
      <c r="B8741"/>
    </row>
    <row r="8742" spans="1:2" x14ac:dyDescent="0.35">
      <c r="B8742"/>
    </row>
    <row r="8743" spans="1:2" x14ac:dyDescent="0.35">
      <c r="B8743"/>
    </row>
    <row r="8744" spans="1:2" x14ac:dyDescent="0.35">
      <c r="B8744"/>
    </row>
    <row r="8745" spans="1:2" x14ac:dyDescent="0.35">
      <c r="B8745"/>
    </row>
    <row r="8746" spans="1:2" x14ac:dyDescent="0.35">
      <c r="B8746"/>
    </row>
    <row r="8747" spans="1:2" ht="15.5" x14ac:dyDescent="0.35">
      <c r="A8747" s="49"/>
      <c r="B8747" s="49"/>
    </row>
    <row r="8748" spans="1:2" x14ac:dyDescent="0.35">
      <c r="B8748"/>
    </row>
    <row r="8749" spans="1:2" x14ac:dyDescent="0.35">
      <c r="B8749"/>
    </row>
    <row r="8750" spans="1:2" x14ac:dyDescent="0.35">
      <c r="B8750"/>
    </row>
    <row r="8751" spans="1:2" x14ac:dyDescent="0.35">
      <c r="B8751"/>
    </row>
    <row r="8752" spans="1:2" x14ac:dyDescent="0.35">
      <c r="B8752"/>
    </row>
    <row r="8753" spans="1:2" x14ac:dyDescent="0.35">
      <c r="B8753"/>
    </row>
    <row r="8754" spans="1:2" x14ac:dyDescent="0.35">
      <c r="B8754"/>
    </row>
    <row r="8755" spans="1:2" x14ac:dyDescent="0.35">
      <c r="B8755"/>
    </row>
    <row r="8756" spans="1:2" x14ac:dyDescent="0.35">
      <c r="B8756"/>
    </row>
    <row r="8757" spans="1:2" ht="15.5" x14ac:dyDescent="0.35">
      <c r="A8757" s="49"/>
      <c r="B8757"/>
    </row>
    <row r="8758" spans="1:2" x14ac:dyDescent="0.35">
      <c r="B8758"/>
    </row>
    <row r="8759" spans="1:2" x14ac:dyDescent="0.35">
      <c r="B8759"/>
    </row>
    <row r="8760" spans="1:2" x14ac:dyDescent="0.35">
      <c r="B8760"/>
    </row>
    <row r="8761" spans="1:2" x14ac:dyDescent="0.35">
      <c r="B8761"/>
    </row>
    <row r="8762" spans="1:2" x14ac:dyDescent="0.35">
      <c r="B8762"/>
    </row>
    <row r="8763" spans="1:2" x14ac:dyDescent="0.35">
      <c r="B8763"/>
    </row>
    <row r="8764" spans="1:2" ht="15.5" x14ac:dyDescent="0.35">
      <c r="A8764" s="49"/>
      <c r="B8764" s="49"/>
    </row>
    <row r="8765" spans="1:2" x14ac:dyDescent="0.35">
      <c r="B8765"/>
    </row>
    <row r="8766" spans="1:2" x14ac:dyDescent="0.35">
      <c r="B8766"/>
    </row>
    <row r="8767" spans="1:2" x14ac:dyDescent="0.35">
      <c r="B8767"/>
    </row>
    <row r="8768" spans="1:2" x14ac:dyDescent="0.35">
      <c r="B8768"/>
    </row>
    <row r="8769" spans="1:2" x14ac:dyDescent="0.35">
      <c r="B8769"/>
    </row>
    <row r="8770" spans="1:2" x14ac:dyDescent="0.35">
      <c r="B8770"/>
    </row>
    <row r="8771" spans="1:2" x14ac:dyDescent="0.35">
      <c r="B8771"/>
    </row>
    <row r="8772" spans="1:2" x14ac:dyDescent="0.35">
      <c r="B8772"/>
    </row>
    <row r="8773" spans="1:2" x14ac:dyDescent="0.35">
      <c r="B8773"/>
    </row>
    <row r="8774" spans="1:2" ht="15.5" x14ac:dyDescent="0.35">
      <c r="A8774" s="49"/>
      <c r="B8774"/>
    </row>
    <row r="8775" spans="1:2" x14ac:dyDescent="0.35">
      <c r="B8775"/>
    </row>
    <row r="8776" spans="1:2" x14ac:dyDescent="0.35">
      <c r="B8776"/>
    </row>
    <row r="8777" spans="1:2" x14ac:dyDescent="0.35">
      <c r="B8777"/>
    </row>
    <row r="8778" spans="1:2" x14ac:dyDescent="0.35">
      <c r="B8778"/>
    </row>
    <row r="8779" spans="1:2" x14ac:dyDescent="0.35">
      <c r="B8779"/>
    </row>
    <row r="8780" spans="1:2" x14ac:dyDescent="0.35">
      <c r="B8780"/>
    </row>
    <row r="8781" spans="1:2" ht="15.5" x14ac:dyDescent="0.35">
      <c r="A8781" s="49"/>
      <c r="B8781" s="49"/>
    </row>
    <row r="8782" spans="1:2" x14ac:dyDescent="0.35">
      <c r="B8782"/>
    </row>
    <row r="8783" spans="1:2" x14ac:dyDescent="0.35">
      <c r="B8783"/>
    </row>
    <row r="8784" spans="1:2" x14ac:dyDescent="0.35">
      <c r="B8784"/>
    </row>
    <row r="8785" spans="1:2" x14ac:dyDescent="0.35">
      <c r="B8785"/>
    </row>
    <row r="8786" spans="1:2" x14ac:dyDescent="0.35">
      <c r="B8786"/>
    </row>
    <row r="8787" spans="1:2" x14ac:dyDescent="0.35">
      <c r="B8787"/>
    </row>
    <row r="8788" spans="1:2" x14ac:dyDescent="0.35">
      <c r="B8788"/>
    </row>
    <row r="8789" spans="1:2" x14ac:dyDescent="0.35">
      <c r="B8789"/>
    </row>
    <row r="8790" spans="1:2" x14ac:dyDescent="0.35">
      <c r="B8790"/>
    </row>
    <row r="8791" spans="1:2" ht="15.5" x14ac:dyDescent="0.35">
      <c r="A8791" s="49"/>
      <c r="B8791"/>
    </row>
    <row r="8792" spans="1:2" x14ac:dyDescent="0.35">
      <c r="B8792"/>
    </row>
    <row r="8793" spans="1:2" x14ac:dyDescent="0.35">
      <c r="B8793"/>
    </row>
    <row r="8794" spans="1:2" x14ac:dyDescent="0.35">
      <c r="B8794"/>
    </row>
    <row r="8795" spans="1:2" x14ac:dyDescent="0.35">
      <c r="B8795"/>
    </row>
    <row r="8796" spans="1:2" x14ac:dyDescent="0.35">
      <c r="B8796"/>
    </row>
    <row r="8797" spans="1:2" x14ac:dyDescent="0.35">
      <c r="B8797"/>
    </row>
    <row r="8798" spans="1:2" x14ac:dyDescent="0.35">
      <c r="B8798"/>
    </row>
    <row r="8799" spans="1:2" x14ac:dyDescent="0.35">
      <c r="B8799"/>
    </row>
    <row r="8800" spans="1:2" x14ac:dyDescent="0.35">
      <c r="B8800"/>
    </row>
    <row r="8801" spans="2:2" x14ac:dyDescent="0.35">
      <c r="B8801"/>
    </row>
    <row r="8802" spans="2:2" x14ac:dyDescent="0.35">
      <c r="B8802"/>
    </row>
    <row r="8803" spans="2:2" x14ac:dyDescent="0.35">
      <c r="B8803"/>
    </row>
    <row r="8804" spans="2:2" x14ac:dyDescent="0.35">
      <c r="B8804"/>
    </row>
    <row r="8805" spans="2:2" x14ac:dyDescent="0.35">
      <c r="B8805"/>
    </row>
    <row r="8806" spans="2:2" x14ac:dyDescent="0.35">
      <c r="B8806"/>
    </row>
    <row r="8807" spans="2:2" x14ac:dyDescent="0.35">
      <c r="B8807"/>
    </row>
    <row r="8808" spans="2:2" x14ac:dyDescent="0.35">
      <c r="B8808"/>
    </row>
    <row r="8809" spans="2:2" x14ac:dyDescent="0.35">
      <c r="B8809"/>
    </row>
    <row r="8810" spans="2:2" x14ac:dyDescent="0.35">
      <c r="B8810"/>
    </row>
    <row r="8811" spans="2:2" x14ac:dyDescent="0.35">
      <c r="B8811"/>
    </row>
    <row r="8812" spans="2:2" x14ac:dyDescent="0.35">
      <c r="B8812"/>
    </row>
    <row r="8813" spans="2:2" x14ac:dyDescent="0.35">
      <c r="B8813"/>
    </row>
    <row r="8814" spans="2:2" x14ac:dyDescent="0.35">
      <c r="B8814"/>
    </row>
    <row r="8815" spans="2:2" x14ac:dyDescent="0.35">
      <c r="B8815"/>
    </row>
    <row r="8816" spans="2:2" x14ac:dyDescent="0.35">
      <c r="B8816"/>
    </row>
    <row r="8817" spans="1:2" x14ac:dyDescent="0.35">
      <c r="B8817"/>
    </row>
    <row r="8818" spans="1:2" x14ac:dyDescent="0.35">
      <c r="B8818"/>
    </row>
    <row r="8819" spans="1:2" ht="15.5" x14ac:dyDescent="0.35">
      <c r="A8819" s="49"/>
      <c r="B8819" s="49"/>
    </row>
    <row r="8820" spans="1:2" x14ac:dyDescent="0.35">
      <c r="B8820"/>
    </row>
    <row r="8821" spans="1:2" x14ac:dyDescent="0.35">
      <c r="B8821"/>
    </row>
    <row r="8822" spans="1:2" x14ac:dyDescent="0.35">
      <c r="B8822"/>
    </row>
    <row r="8823" spans="1:2" x14ac:dyDescent="0.35">
      <c r="B8823"/>
    </row>
    <row r="8824" spans="1:2" x14ac:dyDescent="0.35">
      <c r="B8824"/>
    </row>
    <row r="8825" spans="1:2" x14ac:dyDescent="0.35">
      <c r="B8825"/>
    </row>
    <row r="8826" spans="1:2" x14ac:dyDescent="0.35">
      <c r="B8826"/>
    </row>
    <row r="8827" spans="1:2" x14ac:dyDescent="0.35">
      <c r="B8827"/>
    </row>
    <row r="8828" spans="1:2" x14ac:dyDescent="0.35">
      <c r="B8828"/>
    </row>
    <row r="8829" spans="1:2" ht="15.5" x14ac:dyDescent="0.35">
      <c r="A8829" s="49"/>
      <c r="B8829"/>
    </row>
    <row r="8830" spans="1:2" x14ac:dyDescent="0.35">
      <c r="B8830"/>
    </row>
    <row r="8831" spans="1:2" x14ac:dyDescent="0.35">
      <c r="B8831"/>
    </row>
    <row r="8832" spans="1:2" x14ac:dyDescent="0.35">
      <c r="B8832"/>
    </row>
    <row r="8833" spans="2:2" x14ac:dyDescent="0.35">
      <c r="B8833"/>
    </row>
    <row r="8834" spans="2:2" x14ac:dyDescent="0.35">
      <c r="B8834"/>
    </row>
    <row r="8835" spans="2:2" x14ac:dyDescent="0.35">
      <c r="B8835"/>
    </row>
    <row r="8836" spans="2:2" x14ac:dyDescent="0.35">
      <c r="B8836"/>
    </row>
    <row r="8837" spans="2:2" x14ac:dyDescent="0.35">
      <c r="B8837"/>
    </row>
    <row r="8838" spans="2:2" x14ac:dyDescent="0.35">
      <c r="B8838"/>
    </row>
    <row r="8839" spans="2:2" x14ac:dyDescent="0.35">
      <c r="B8839"/>
    </row>
    <row r="8840" spans="2:2" x14ac:dyDescent="0.35">
      <c r="B8840"/>
    </row>
    <row r="8841" spans="2:2" x14ac:dyDescent="0.35">
      <c r="B8841"/>
    </row>
    <row r="8842" spans="2:2" x14ac:dyDescent="0.35">
      <c r="B8842"/>
    </row>
    <row r="8843" spans="2:2" x14ac:dyDescent="0.35">
      <c r="B8843"/>
    </row>
    <row r="8844" spans="2:2" x14ac:dyDescent="0.35">
      <c r="B8844"/>
    </row>
    <row r="8845" spans="2:2" x14ac:dyDescent="0.35">
      <c r="B8845"/>
    </row>
    <row r="8846" spans="2:2" x14ac:dyDescent="0.35">
      <c r="B8846"/>
    </row>
    <row r="8847" spans="2:2" x14ac:dyDescent="0.35">
      <c r="B8847"/>
    </row>
    <row r="8848" spans="2:2" x14ac:dyDescent="0.35">
      <c r="B8848"/>
    </row>
    <row r="8849" spans="1:2" x14ac:dyDescent="0.35">
      <c r="B8849"/>
    </row>
    <row r="8850" spans="1:2" x14ac:dyDescent="0.35">
      <c r="B8850"/>
    </row>
    <row r="8851" spans="1:2" x14ac:dyDescent="0.35">
      <c r="B8851"/>
    </row>
    <row r="8852" spans="1:2" x14ac:dyDescent="0.35">
      <c r="B8852"/>
    </row>
    <row r="8853" spans="1:2" x14ac:dyDescent="0.35">
      <c r="B8853"/>
    </row>
    <row r="8854" spans="1:2" x14ac:dyDescent="0.35">
      <c r="B8854"/>
    </row>
    <row r="8855" spans="1:2" x14ac:dyDescent="0.35">
      <c r="B8855"/>
    </row>
    <row r="8856" spans="1:2" x14ac:dyDescent="0.35">
      <c r="B8856"/>
    </row>
    <row r="8857" spans="1:2" ht="15.5" x14ac:dyDescent="0.35">
      <c r="A8857" s="49"/>
      <c r="B8857" s="49"/>
    </row>
    <row r="8858" spans="1:2" x14ac:dyDescent="0.35">
      <c r="B8858"/>
    </row>
    <row r="8859" spans="1:2" x14ac:dyDescent="0.35">
      <c r="B8859"/>
    </row>
    <row r="8860" spans="1:2" x14ac:dyDescent="0.35">
      <c r="B8860"/>
    </row>
    <row r="8861" spans="1:2" x14ac:dyDescent="0.35">
      <c r="B8861"/>
    </row>
    <row r="8862" spans="1:2" x14ac:dyDescent="0.35">
      <c r="B8862"/>
    </row>
    <row r="8863" spans="1:2" x14ac:dyDescent="0.35">
      <c r="B8863"/>
    </row>
    <row r="8864" spans="1:2" x14ac:dyDescent="0.35">
      <c r="B8864"/>
    </row>
    <row r="8865" spans="1:2" x14ac:dyDescent="0.35">
      <c r="B8865"/>
    </row>
    <row r="8866" spans="1:2" x14ac:dyDescent="0.35">
      <c r="B8866"/>
    </row>
    <row r="8867" spans="1:2" ht="15.5" x14ac:dyDescent="0.35">
      <c r="A8867" s="49"/>
      <c r="B8867"/>
    </row>
    <row r="8868" spans="1:2" x14ac:dyDescent="0.35">
      <c r="B8868"/>
    </row>
    <row r="8869" spans="1:2" x14ac:dyDescent="0.35">
      <c r="B8869"/>
    </row>
    <row r="8870" spans="1:2" x14ac:dyDescent="0.35">
      <c r="B8870"/>
    </row>
    <row r="8871" spans="1:2" x14ac:dyDescent="0.35">
      <c r="B8871"/>
    </row>
    <row r="8872" spans="1:2" x14ac:dyDescent="0.35">
      <c r="B8872"/>
    </row>
    <row r="8873" spans="1:2" x14ac:dyDescent="0.35">
      <c r="B8873"/>
    </row>
    <row r="8874" spans="1:2" x14ac:dyDescent="0.35">
      <c r="B8874"/>
    </row>
    <row r="8875" spans="1:2" x14ac:dyDescent="0.35">
      <c r="B8875"/>
    </row>
    <row r="8876" spans="1:2" x14ac:dyDescent="0.35">
      <c r="B8876"/>
    </row>
    <row r="8877" spans="1:2" x14ac:dyDescent="0.35">
      <c r="B8877"/>
    </row>
    <row r="8878" spans="1:2" x14ac:dyDescent="0.35">
      <c r="B8878"/>
    </row>
    <row r="8879" spans="1:2" x14ac:dyDescent="0.35">
      <c r="B8879"/>
    </row>
    <row r="8880" spans="1:2" x14ac:dyDescent="0.35">
      <c r="B8880"/>
    </row>
    <row r="8881" spans="1:2" x14ac:dyDescent="0.35">
      <c r="B8881"/>
    </row>
    <row r="8882" spans="1:2" x14ac:dyDescent="0.35">
      <c r="B8882"/>
    </row>
    <row r="8883" spans="1:2" x14ac:dyDescent="0.35">
      <c r="B8883"/>
    </row>
    <row r="8884" spans="1:2" x14ac:dyDescent="0.35">
      <c r="B8884"/>
    </row>
    <row r="8885" spans="1:2" x14ac:dyDescent="0.35">
      <c r="B8885"/>
    </row>
    <row r="8886" spans="1:2" x14ac:dyDescent="0.35">
      <c r="B8886"/>
    </row>
    <row r="8887" spans="1:2" x14ac:dyDescent="0.35">
      <c r="B8887"/>
    </row>
    <row r="8888" spans="1:2" x14ac:dyDescent="0.35">
      <c r="B8888"/>
    </row>
    <row r="8889" spans="1:2" x14ac:dyDescent="0.35">
      <c r="B8889"/>
    </row>
    <row r="8890" spans="1:2" x14ac:dyDescent="0.35">
      <c r="B8890"/>
    </row>
    <row r="8891" spans="1:2" x14ac:dyDescent="0.35">
      <c r="B8891"/>
    </row>
    <row r="8892" spans="1:2" x14ac:dyDescent="0.35">
      <c r="B8892"/>
    </row>
    <row r="8893" spans="1:2" x14ac:dyDescent="0.35">
      <c r="B8893"/>
    </row>
    <row r="8894" spans="1:2" x14ac:dyDescent="0.35">
      <c r="B8894"/>
    </row>
    <row r="8895" spans="1:2" ht="15.5" x14ac:dyDescent="0.35">
      <c r="A8895" s="49"/>
      <c r="B8895" s="49"/>
    </row>
    <row r="8896" spans="1:2" x14ac:dyDescent="0.35">
      <c r="B8896"/>
    </row>
    <row r="8897" spans="1:2" x14ac:dyDescent="0.35">
      <c r="B8897"/>
    </row>
    <row r="8898" spans="1:2" x14ac:dyDescent="0.35">
      <c r="B8898"/>
    </row>
    <row r="8899" spans="1:2" x14ac:dyDescent="0.35">
      <c r="B8899"/>
    </row>
    <row r="8900" spans="1:2" x14ac:dyDescent="0.35">
      <c r="B8900"/>
    </row>
    <row r="8901" spans="1:2" x14ac:dyDescent="0.35">
      <c r="B8901"/>
    </row>
    <row r="8902" spans="1:2" x14ac:dyDescent="0.35">
      <c r="B8902"/>
    </row>
    <row r="8903" spans="1:2" x14ac:dyDescent="0.35">
      <c r="B8903"/>
    </row>
    <row r="8904" spans="1:2" x14ac:dyDescent="0.35">
      <c r="B8904"/>
    </row>
    <row r="8905" spans="1:2" ht="15.5" x14ac:dyDescent="0.35">
      <c r="A8905" s="49"/>
      <c r="B8905"/>
    </row>
    <row r="8906" spans="1:2" x14ac:dyDescent="0.35">
      <c r="B8906"/>
    </row>
    <row r="8907" spans="1:2" x14ac:dyDescent="0.35">
      <c r="B8907"/>
    </row>
    <row r="8908" spans="1:2" x14ac:dyDescent="0.35">
      <c r="B8908"/>
    </row>
    <row r="8909" spans="1:2" x14ac:dyDescent="0.35">
      <c r="B8909"/>
    </row>
    <row r="8910" spans="1:2" x14ac:dyDescent="0.35">
      <c r="B8910"/>
    </row>
    <row r="8911" spans="1:2" x14ac:dyDescent="0.35">
      <c r="B8911"/>
    </row>
    <row r="8912" spans="1:2" x14ac:dyDescent="0.35">
      <c r="B8912"/>
    </row>
    <row r="8913" spans="2:2" x14ac:dyDescent="0.35">
      <c r="B8913"/>
    </row>
    <row r="8914" spans="2:2" x14ac:dyDescent="0.35">
      <c r="B8914"/>
    </row>
    <row r="8915" spans="2:2" x14ac:dyDescent="0.35">
      <c r="B8915"/>
    </row>
    <row r="8916" spans="2:2" x14ac:dyDescent="0.35">
      <c r="B8916"/>
    </row>
    <row r="8917" spans="2:2" x14ac:dyDescent="0.35">
      <c r="B8917"/>
    </row>
    <row r="8918" spans="2:2" x14ac:dyDescent="0.35">
      <c r="B8918"/>
    </row>
    <row r="8919" spans="2:2" x14ac:dyDescent="0.35">
      <c r="B8919"/>
    </row>
    <row r="8920" spans="2:2" x14ac:dyDescent="0.35">
      <c r="B8920"/>
    </row>
    <row r="8921" spans="2:2" x14ac:dyDescent="0.35">
      <c r="B8921"/>
    </row>
    <row r="8922" spans="2:2" x14ac:dyDescent="0.35">
      <c r="B8922"/>
    </row>
    <row r="8923" spans="2:2" x14ac:dyDescent="0.35">
      <c r="B8923"/>
    </row>
    <row r="8924" spans="2:2" x14ac:dyDescent="0.35">
      <c r="B8924"/>
    </row>
    <row r="8925" spans="2:2" x14ac:dyDescent="0.35">
      <c r="B8925"/>
    </row>
    <row r="8926" spans="2:2" x14ac:dyDescent="0.35">
      <c r="B8926"/>
    </row>
    <row r="8927" spans="2:2" x14ac:dyDescent="0.35">
      <c r="B8927"/>
    </row>
    <row r="8928" spans="2:2" x14ac:dyDescent="0.35">
      <c r="B8928"/>
    </row>
    <row r="8929" spans="1:2" x14ac:dyDescent="0.35">
      <c r="B8929"/>
    </row>
    <row r="8930" spans="1:2" x14ac:dyDescent="0.35">
      <c r="B8930"/>
    </row>
    <row r="8931" spans="1:2" x14ac:dyDescent="0.35">
      <c r="B8931"/>
    </row>
    <row r="8932" spans="1:2" x14ac:dyDescent="0.35">
      <c r="B8932"/>
    </row>
    <row r="8933" spans="1:2" ht="15.5" x14ac:dyDescent="0.35">
      <c r="A8933" s="49"/>
      <c r="B8933" s="49"/>
    </row>
    <row r="8934" spans="1:2" x14ac:dyDescent="0.35">
      <c r="B8934"/>
    </row>
    <row r="8935" spans="1:2" x14ac:dyDescent="0.35">
      <c r="B8935"/>
    </row>
    <row r="8936" spans="1:2" x14ac:dyDescent="0.35">
      <c r="B8936"/>
    </row>
    <row r="8937" spans="1:2" x14ac:dyDescent="0.35">
      <c r="B8937"/>
    </row>
    <row r="8938" spans="1:2" x14ac:dyDescent="0.35">
      <c r="B8938"/>
    </row>
    <row r="8939" spans="1:2" x14ac:dyDescent="0.35">
      <c r="B8939"/>
    </row>
    <row r="8940" spans="1:2" x14ac:dyDescent="0.35">
      <c r="B8940"/>
    </row>
    <row r="8941" spans="1:2" x14ac:dyDescent="0.35">
      <c r="B8941"/>
    </row>
    <row r="8942" spans="1:2" x14ac:dyDescent="0.35">
      <c r="B8942"/>
    </row>
    <row r="8943" spans="1:2" ht="15.5" x14ac:dyDescent="0.35">
      <c r="A8943" s="49"/>
      <c r="B8943"/>
    </row>
    <row r="8944" spans="1:2" x14ac:dyDescent="0.35">
      <c r="B8944"/>
    </row>
    <row r="8945" spans="2:2" x14ac:dyDescent="0.35">
      <c r="B8945"/>
    </row>
    <row r="8946" spans="2:2" x14ac:dyDescent="0.35">
      <c r="B8946"/>
    </row>
    <row r="8947" spans="2:2" x14ac:dyDescent="0.35">
      <c r="B8947"/>
    </row>
    <row r="8948" spans="2:2" x14ac:dyDescent="0.35">
      <c r="B8948"/>
    </row>
    <row r="8949" spans="2:2" x14ac:dyDescent="0.35">
      <c r="B8949"/>
    </row>
    <row r="8950" spans="2:2" x14ac:dyDescent="0.35">
      <c r="B8950"/>
    </row>
    <row r="8951" spans="2:2" x14ac:dyDescent="0.35">
      <c r="B8951"/>
    </row>
    <row r="8952" spans="2:2" x14ac:dyDescent="0.35">
      <c r="B8952"/>
    </row>
    <row r="8953" spans="2:2" x14ac:dyDescent="0.35">
      <c r="B8953"/>
    </row>
    <row r="8954" spans="2:2" x14ac:dyDescent="0.35">
      <c r="B8954"/>
    </row>
    <row r="8955" spans="2:2" x14ac:dyDescent="0.35">
      <c r="B8955"/>
    </row>
    <row r="8956" spans="2:2" x14ac:dyDescent="0.35">
      <c r="B8956"/>
    </row>
    <row r="8957" spans="2:2" x14ac:dyDescent="0.35">
      <c r="B8957"/>
    </row>
    <row r="8958" spans="2:2" x14ac:dyDescent="0.35">
      <c r="B8958"/>
    </row>
    <row r="8959" spans="2:2" x14ac:dyDescent="0.35">
      <c r="B8959"/>
    </row>
    <row r="8960" spans="2:2" x14ac:dyDescent="0.35">
      <c r="B8960"/>
    </row>
    <row r="8961" spans="1:2" x14ac:dyDescent="0.35">
      <c r="B8961"/>
    </row>
    <row r="8962" spans="1:2" x14ac:dyDescent="0.35">
      <c r="B8962"/>
    </row>
    <row r="8963" spans="1:2" x14ac:dyDescent="0.35">
      <c r="B8963"/>
    </row>
    <row r="8964" spans="1:2" x14ac:dyDescent="0.35">
      <c r="B8964"/>
    </row>
    <row r="8965" spans="1:2" x14ac:dyDescent="0.35">
      <c r="B8965"/>
    </row>
    <row r="8966" spans="1:2" x14ac:dyDescent="0.35">
      <c r="B8966"/>
    </row>
    <row r="8967" spans="1:2" x14ac:dyDescent="0.35">
      <c r="B8967"/>
    </row>
    <row r="8968" spans="1:2" x14ac:dyDescent="0.35">
      <c r="B8968"/>
    </row>
    <row r="8969" spans="1:2" ht="15.5" x14ac:dyDescent="0.35">
      <c r="A8969" s="49"/>
      <c r="B8969" s="49"/>
    </row>
    <row r="8970" spans="1:2" x14ac:dyDescent="0.35">
      <c r="B8970"/>
    </row>
    <row r="8971" spans="1:2" x14ac:dyDescent="0.35">
      <c r="B8971"/>
    </row>
    <row r="8972" spans="1:2" x14ac:dyDescent="0.35">
      <c r="B8972"/>
    </row>
    <row r="8973" spans="1:2" x14ac:dyDescent="0.35">
      <c r="B8973"/>
    </row>
    <row r="8974" spans="1:2" x14ac:dyDescent="0.35">
      <c r="B8974"/>
    </row>
    <row r="8975" spans="1:2" x14ac:dyDescent="0.35">
      <c r="B8975"/>
    </row>
    <row r="8976" spans="1:2" x14ac:dyDescent="0.35">
      <c r="B8976"/>
    </row>
    <row r="8977" spans="1:2" x14ac:dyDescent="0.35">
      <c r="B8977"/>
    </row>
    <row r="8978" spans="1:2" x14ac:dyDescent="0.35">
      <c r="B8978"/>
    </row>
    <row r="8979" spans="1:2" ht="15.5" x14ac:dyDescent="0.35">
      <c r="A8979" s="49"/>
      <c r="B8979"/>
    </row>
    <row r="8980" spans="1:2" x14ac:dyDescent="0.35">
      <c r="B8980"/>
    </row>
    <row r="8981" spans="1:2" x14ac:dyDescent="0.35">
      <c r="B8981"/>
    </row>
    <row r="8982" spans="1:2" x14ac:dyDescent="0.35">
      <c r="B8982"/>
    </row>
    <row r="8983" spans="1:2" x14ac:dyDescent="0.35">
      <c r="B8983"/>
    </row>
    <row r="8984" spans="1:2" x14ac:dyDescent="0.35">
      <c r="B8984"/>
    </row>
    <row r="8985" spans="1:2" x14ac:dyDescent="0.35">
      <c r="B8985"/>
    </row>
    <row r="8986" spans="1:2" x14ac:dyDescent="0.35">
      <c r="B8986"/>
    </row>
    <row r="8987" spans="1:2" x14ac:dyDescent="0.35">
      <c r="B8987"/>
    </row>
    <row r="8988" spans="1:2" x14ac:dyDescent="0.35">
      <c r="B8988"/>
    </row>
    <row r="8989" spans="1:2" x14ac:dyDescent="0.35">
      <c r="B8989"/>
    </row>
    <row r="8990" spans="1:2" x14ac:dyDescent="0.35">
      <c r="B8990"/>
    </row>
    <row r="8991" spans="1:2" x14ac:dyDescent="0.35">
      <c r="B8991"/>
    </row>
    <row r="8992" spans="1:2" x14ac:dyDescent="0.35">
      <c r="B8992"/>
    </row>
    <row r="8993" spans="1:2" x14ac:dyDescent="0.35">
      <c r="B8993"/>
    </row>
    <row r="8994" spans="1:2" x14ac:dyDescent="0.35">
      <c r="B8994"/>
    </row>
    <row r="8995" spans="1:2" x14ac:dyDescent="0.35">
      <c r="B8995"/>
    </row>
    <row r="8996" spans="1:2" x14ac:dyDescent="0.35">
      <c r="B8996"/>
    </row>
    <row r="8997" spans="1:2" x14ac:dyDescent="0.35">
      <c r="B8997"/>
    </row>
    <row r="8998" spans="1:2" x14ac:dyDescent="0.35">
      <c r="B8998"/>
    </row>
    <row r="8999" spans="1:2" x14ac:dyDescent="0.35">
      <c r="B8999"/>
    </row>
    <row r="9000" spans="1:2" x14ac:dyDescent="0.35">
      <c r="B9000"/>
    </row>
    <row r="9001" spans="1:2" x14ac:dyDescent="0.35">
      <c r="B9001"/>
    </row>
    <row r="9002" spans="1:2" x14ac:dyDescent="0.35">
      <c r="B9002"/>
    </row>
    <row r="9003" spans="1:2" x14ac:dyDescent="0.35">
      <c r="B9003"/>
    </row>
    <row r="9004" spans="1:2" x14ac:dyDescent="0.35">
      <c r="B9004"/>
    </row>
    <row r="9005" spans="1:2" x14ac:dyDescent="0.35">
      <c r="B9005"/>
    </row>
    <row r="9006" spans="1:2" x14ac:dyDescent="0.35">
      <c r="B9006"/>
    </row>
    <row r="9007" spans="1:2" x14ac:dyDescent="0.35">
      <c r="B9007"/>
    </row>
    <row r="9008" spans="1:2" ht="15.5" x14ac:dyDescent="0.35">
      <c r="A9008" s="49"/>
      <c r="B9008" s="49"/>
    </row>
    <row r="9009" spans="1:2" x14ac:dyDescent="0.35">
      <c r="B9009"/>
    </row>
    <row r="9010" spans="1:2" x14ac:dyDescent="0.35">
      <c r="B9010"/>
    </row>
    <row r="9011" spans="1:2" x14ac:dyDescent="0.35">
      <c r="B9011"/>
    </row>
    <row r="9012" spans="1:2" x14ac:dyDescent="0.35">
      <c r="B9012"/>
    </row>
    <row r="9013" spans="1:2" x14ac:dyDescent="0.35">
      <c r="B9013"/>
    </row>
    <row r="9014" spans="1:2" x14ac:dyDescent="0.35">
      <c r="B9014"/>
    </row>
    <row r="9015" spans="1:2" x14ac:dyDescent="0.35">
      <c r="B9015"/>
    </row>
    <row r="9016" spans="1:2" x14ac:dyDescent="0.35">
      <c r="B9016"/>
    </row>
    <row r="9017" spans="1:2" x14ac:dyDescent="0.35">
      <c r="B9017"/>
    </row>
    <row r="9018" spans="1:2" ht="15.5" x14ac:dyDescent="0.35">
      <c r="A9018" s="49"/>
      <c r="B9018"/>
    </row>
    <row r="9019" spans="1:2" x14ac:dyDescent="0.35">
      <c r="B9019"/>
    </row>
    <row r="9020" spans="1:2" x14ac:dyDescent="0.35">
      <c r="B9020"/>
    </row>
    <row r="9021" spans="1:2" x14ac:dyDescent="0.35">
      <c r="B9021"/>
    </row>
    <row r="9022" spans="1:2" x14ac:dyDescent="0.35">
      <c r="B9022"/>
    </row>
    <row r="9023" spans="1:2" x14ac:dyDescent="0.35">
      <c r="B9023"/>
    </row>
    <row r="9024" spans="1:2" x14ac:dyDescent="0.35">
      <c r="B9024"/>
    </row>
    <row r="9025" spans="2:2" x14ac:dyDescent="0.35">
      <c r="B9025"/>
    </row>
    <row r="9026" spans="2:2" x14ac:dyDescent="0.35">
      <c r="B9026"/>
    </row>
    <row r="9027" spans="2:2" x14ac:dyDescent="0.35">
      <c r="B9027"/>
    </row>
    <row r="9028" spans="2:2" x14ac:dyDescent="0.35">
      <c r="B9028"/>
    </row>
    <row r="9029" spans="2:2" x14ac:dyDescent="0.35">
      <c r="B9029"/>
    </row>
    <row r="9030" spans="2:2" x14ac:dyDescent="0.35">
      <c r="B9030"/>
    </row>
    <row r="9031" spans="2:2" x14ac:dyDescent="0.35">
      <c r="B9031"/>
    </row>
    <row r="9032" spans="2:2" x14ac:dyDescent="0.35">
      <c r="B9032"/>
    </row>
    <row r="9033" spans="2:2" x14ac:dyDescent="0.35">
      <c r="B9033"/>
    </row>
    <row r="9034" spans="2:2" x14ac:dyDescent="0.35">
      <c r="B9034"/>
    </row>
    <row r="9035" spans="2:2" x14ac:dyDescent="0.35">
      <c r="B9035"/>
    </row>
    <row r="9036" spans="2:2" x14ac:dyDescent="0.35">
      <c r="B9036"/>
    </row>
    <row r="9037" spans="2:2" x14ac:dyDescent="0.35">
      <c r="B9037"/>
    </row>
    <row r="9038" spans="2:2" x14ac:dyDescent="0.35">
      <c r="B9038"/>
    </row>
    <row r="9039" spans="2:2" x14ac:dyDescent="0.35">
      <c r="B9039"/>
    </row>
    <row r="9040" spans="2:2" x14ac:dyDescent="0.35">
      <c r="B9040"/>
    </row>
    <row r="9041" spans="1:2" x14ac:dyDescent="0.35">
      <c r="B9041"/>
    </row>
    <row r="9042" spans="1:2" x14ac:dyDescent="0.35">
      <c r="B9042"/>
    </row>
    <row r="9043" spans="1:2" x14ac:dyDescent="0.35">
      <c r="B9043"/>
    </row>
    <row r="9044" spans="1:2" x14ac:dyDescent="0.35">
      <c r="B9044"/>
    </row>
    <row r="9045" spans="1:2" ht="15.5" x14ac:dyDescent="0.35">
      <c r="A9045" s="49"/>
      <c r="B9045" s="49"/>
    </row>
    <row r="9046" spans="1:2" x14ac:dyDescent="0.35">
      <c r="B9046"/>
    </row>
    <row r="9047" spans="1:2" x14ac:dyDescent="0.35">
      <c r="B9047"/>
    </row>
    <row r="9048" spans="1:2" x14ac:dyDescent="0.35">
      <c r="B9048"/>
    </row>
    <row r="9049" spans="1:2" x14ac:dyDescent="0.35">
      <c r="B9049"/>
    </row>
    <row r="9050" spans="1:2" x14ac:dyDescent="0.35">
      <c r="B9050"/>
    </row>
    <row r="9051" spans="1:2" x14ac:dyDescent="0.35">
      <c r="B9051"/>
    </row>
    <row r="9052" spans="1:2" x14ac:dyDescent="0.35">
      <c r="B9052"/>
    </row>
    <row r="9053" spans="1:2" x14ac:dyDescent="0.35">
      <c r="B9053"/>
    </row>
    <row r="9054" spans="1:2" x14ac:dyDescent="0.35">
      <c r="B9054"/>
    </row>
    <row r="9055" spans="1:2" ht="15.5" x14ac:dyDescent="0.35">
      <c r="A9055" s="49"/>
      <c r="B9055"/>
    </row>
    <row r="9056" spans="1:2" x14ac:dyDescent="0.35">
      <c r="B9056"/>
    </row>
    <row r="9057" spans="2:2" x14ac:dyDescent="0.35">
      <c r="B9057"/>
    </row>
    <row r="9058" spans="2:2" x14ac:dyDescent="0.35">
      <c r="B9058"/>
    </row>
    <row r="9059" spans="2:2" x14ac:dyDescent="0.35">
      <c r="B9059"/>
    </row>
    <row r="9060" spans="2:2" x14ac:dyDescent="0.35">
      <c r="B9060"/>
    </row>
    <row r="9061" spans="2:2" x14ac:dyDescent="0.35">
      <c r="B9061"/>
    </row>
    <row r="9062" spans="2:2" x14ac:dyDescent="0.35">
      <c r="B9062"/>
    </row>
    <row r="9063" spans="2:2" x14ac:dyDescent="0.35">
      <c r="B9063"/>
    </row>
    <row r="9064" spans="2:2" x14ac:dyDescent="0.35">
      <c r="B9064"/>
    </row>
    <row r="9065" spans="2:2" x14ac:dyDescent="0.35">
      <c r="B9065"/>
    </row>
    <row r="9066" spans="2:2" x14ac:dyDescent="0.35">
      <c r="B9066"/>
    </row>
    <row r="9067" spans="2:2" x14ac:dyDescent="0.35">
      <c r="B9067"/>
    </row>
    <row r="9068" spans="2:2" x14ac:dyDescent="0.35">
      <c r="B9068"/>
    </row>
    <row r="9069" spans="2:2" x14ac:dyDescent="0.35">
      <c r="B9069"/>
    </row>
    <row r="9070" spans="2:2" x14ac:dyDescent="0.35">
      <c r="B9070"/>
    </row>
    <row r="9071" spans="2:2" x14ac:dyDescent="0.35">
      <c r="B9071"/>
    </row>
    <row r="9072" spans="2:2" x14ac:dyDescent="0.35">
      <c r="B9072"/>
    </row>
    <row r="9073" spans="1:2" x14ac:dyDescent="0.35">
      <c r="B9073"/>
    </row>
    <row r="9074" spans="1:2" x14ac:dyDescent="0.35">
      <c r="B9074"/>
    </row>
    <row r="9075" spans="1:2" x14ac:dyDescent="0.35">
      <c r="B9075"/>
    </row>
    <row r="9076" spans="1:2" x14ac:dyDescent="0.35">
      <c r="B9076"/>
    </row>
    <row r="9077" spans="1:2" x14ac:dyDescent="0.35">
      <c r="B9077"/>
    </row>
    <row r="9078" spans="1:2" x14ac:dyDescent="0.35">
      <c r="B9078"/>
    </row>
    <row r="9079" spans="1:2" x14ac:dyDescent="0.35">
      <c r="B9079"/>
    </row>
    <row r="9080" spans="1:2" x14ac:dyDescent="0.35">
      <c r="B9080"/>
    </row>
    <row r="9081" spans="1:2" ht="15.5" x14ac:dyDescent="0.35">
      <c r="A9081" s="49"/>
      <c r="B9081" s="49"/>
    </row>
    <row r="9082" spans="1:2" x14ac:dyDescent="0.35">
      <c r="B9082"/>
    </row>
    <row r="9083" spans="1:2" x14ac:dyDescent="0.35">
      <c r="B9083"/>
    </row>
    <row r="9084" spans="1:2" x14ac:dyDescent="0.35">
      <c r="B9084"/>
    </row>
    <row r="9085" spans="1:2" x14ac:dyDescent="0.35">
      <c r="B9085"/>
    </row>
    <row r="9086" spans="1:2" x14ac:dyDescent="0.35">
      <c r="B9086"/>
    </row>
    <row r="9087" spans="1:2" x14ac:dyDescent="0.35">
      <c r="B9087"/>
    </row>
    <row r="9088" spans="1:2" x14ac:dyDescent="0.35">
      <c r="B9088"/>
    </row>
    <row r="9089" spans="1:2" x14ac:dyDescent="0.35">
      <c r="B9089"/>
    </row>
    <row r="9090" spans="1:2" x14ac:dyDescent="0.35">
      <c r="B9090"/>
    </row>
    <row r="9091" spans="1:2" ht="15.5" x14ac:dyDescent="0.35">
      <c r="A9091" s="49"/>
      <c r="B9091"/>
    </row>
    <row r="9092" spans="1:2" x14ac:dyDescent="0.35">
      <c r="B9092"/>
    </row>
    <row r="9093" spans="1:2" x14ac:dyDescent="0.35">
      <c r="B9093"/>
    </row>
    <row r="9094" spans="1:2" x14ac:dyDescent="0.35">
      <c r="B9094"/>
    </row>
    <row r="9095" spans="1:2" x14ac:dyDescent="0.35">
      <c r="B9095"/>
    </row>
    <row r="9096" spans="1:2" x14ac:dyDescent="0.35">
      <c r="B9096"/>
    </row>
    <row r="9097" spans="1:2" x14ac:dyDescent="0.35">
      <c r="B9097"/>
    </row>
    <row r="9098" spans="1:2" x14ac:dyDescent="0.35">
      <c r="B9098"/>
    </row>
    <row r="9099" spans="1:2" x14ac:dyDescent="0.35">
      <c r="B9099"/>
    </row>
    <row r="9100" spans="1:2" x14ac:dyDescent="0.35">
      <c r="B9100"/>
    </row>
    <row r="9101" spans="1:2" x14ac:dyDescent="0.35">
      <c r="B9101"/>
    </row>
    <row r="9102" spans="1:2" x14ac:dyDescent="0.35">
      <c r="B9102"/>
    </row>
    <row r="9103" spans="1:2" x14ac:dyDescent="0.35">
      <c r="B9103"/>
    </row>
    <row r="9104" spans="1:2" x14ac:dyDescent="0.35">
      <c r="B9104"/>
    </row>
    <row r="9105" spans="1:2" x14ac:dyDescent="0.35">
      <c r="B9105"/>
    </row>
    <row r="9106" spans="1:2" x14ac:dyDescent="0.35">
      <c r="B9106"/>
    </row>
    <row r="9107" spans="1:2" x14ac:dyDescent="0.35">
      <c r="B9107"/>
    </row>
    <row r="9108" spans="1:2" x14ac:dyDescent="0.35">
      <c r="B9108"/>
    </row>
    <row r="9109" spans="1:2" x14ac:dyDescent="0.35">
      <c r="B9109"/>
    </row>
    <row r="9110" spans="1:2" x14ac:dyDescent="0.35">
      <c r="B9110"/>
    </row>
    <row r="9111" spans="1:2" x14ac:dyDescent="0.35">
      <c r="B9111"/>
    </row>
    <row r="9112" spans="1:2" x14ac:dyDescent="0.35">
      <c r="B9112"/>
    </row>
    <row r="9113" spans="1:2" x14ac:dyDescent="0.35">
      <c r="B9113"/>
    </row>
    <row r="9114" spans="1:2" x14ac:dyDescent="0.35">
      <c r="B9114"/>
    </row>
    <row r="9115" spans="1:2" x14ac:dyDescent="0.35">
      <c r="B9115"/>
    </row>
    <row r="9116" spans="1:2" x14ac:dyDescent="0.35">
      <c r="B9116"/>
    </row>
    <row r="9117" spans="1:2" x14ac:dyDescent="0.35">
      <c r="B9117"/>
    </row>
    <row r="9118" spans="1:2" x14ac:dyDescent="0.35">
      <c r="B9118"/>
    </row>
    <row r="9119" spans="1:2" ht="15.5" x14ac:dyDescent="0.35">
      <c r="A9119" s="49"/>
      <c r="B9119" s="49"/>
    </row>
    <row r="9120" spans="1:2" x14ac:dyDescent="0.35">
      <c r="B9120"/>
    </row>
    <row r="9121" spans="1:2" x14ac:dyDescent="0.35">
      <c r="B9121"/>
    </row>
    <row r="9122" spans="1:2" x14ac:dyDescent="0.35">
      <c r="B9122"/>
    </row>
    <row r="9123" spans="1:2" x14ac:dyDescent="0.35">
      <c r="B9123"/>
    </row>
    <row r="9124" spans="1:2" x14ac:dyDescent="0.35">
      <c r="B9124"/>
    </row>
    <row r="9125" spans="1:2" x14ac:dyDescent="0.35">
      <c r="B9125"/>
    </row>
    <row r="9126" spans="1:2" x14ac:dyDescent="0.35">
      <c r="B9126"/>
    </row>
    <row r="9127" spans="1:2" x14ac:dyDescent="0.35">
      <c r="B9127"/>
    </row>
    <row r="9128" spans="1:2" x14ac:dyDescent="0.35">
      <c r="B9128"/>
    </row>
    <row r="9129" spans="1:2" ht="15.5" x14ac:dyDescent="0.35">
      <c r="A9129" s="49"/>
      <c r="B9129"/>
    </row>
    <row r="9130" spans="1:2" x14ac:dyDescent="0.35">
      <c r="B9130"/>
    </row>
    <row r="9131" spans="1:2" x14ac:dyDescent="0.35">
      <c r="B9131"/>
    </row>
    <row r="9132" spans="1:2" x14ac:dyDescent="0.35">
      <c r="B9132"/>
    </row>
    <row r="9133" spans="1:2" x14ac:dyDescent="0.35">
      <c r="B9133"/>
    </row>
    <row r="9134" spans="1:2" x14ac:dyDescent="0.35">
      <c r="B9134"/>
    </row>
    <row r="9135" spans="1:2" x14ac:dyDescent="0.35">
      <c r="B9135"/>
    </row>
    <row r="9136" spans="1:2" x14ac:dyDescent="0.35">
      <c r="B9136"/>
    </row>
    <row r="9137" spans="2:2" x14ac:dyDescent="0.35">
      <c r="B9137"/>
    </row>
    <row r="9138" spans="2:2" x14ac:dyDescent="0.35">
      <c r="B9138"/>
    </row>
    <row r="9139" spans="2:2" x14ac:dyDescent="0.35">
      <c r="B9139"/>
    </row>
    <row r="9140" spans="2:2" x14ac:dyDescent="0.35">
      <c r="B9140"/>
    </row>
    <row r="9141" spans="2:2" x14ac:dyDescent="0.35">
      <c r="B9141"/>
    </row>
    <row r="9142" spans="2:2" x14ac:dyDescent="0.35">
      <c r="B9142"/>
    </row>
    <row r="9143" spans="2:2" x14ac:dyDescent="0.35">
      <c r="B9143"/>
    </row>
    <row r="9144" spans="2:2" x14ac:dyDescent="0.35">
      <c r="B9144"/>
    </row>
    <row r="9145" spans="2:2" x14ac:dyDescent="0.35">
      <c r="B9145"/>
    </row>
    <row r="9146" spans="2:2" x14ac:dyDescent="0.35">
      <c r="B9146"/>
    </row>
    <row r="9147" spans="2:2" x14ac:dyDescent="0.35">
      <c r="B9147"/>
    </row>
    <row r="9148" spans="2:2" x14ac:dyDescent="0.35">
      <c r="B9148"/>
    </row>
    <row r="9149" spans="2:2" x14ac:dyDescent="0.35">
      <c r="B9149"/>
    </row>
    <row r="9150" spans="2:2" x14ac:dyDescent="0.35">
      <c r="B9150"/>
    </row>
    <row r="9151" spans="2:2" x14ac:dyDescent="0.35">
      <c r="B9151"/>
    </row>
    <row r="9152" spans="2:2" x14ac:dyDescent="0.35">
      <c r="B9152"/>
    </row>
    <row r="9153" spans="1:2" x14ac:dyDescent="0.35">
      <c r="B9153"/>
    </row>
    <row r="9154" spans="1:2" x14ac:dyDescent="0.35">
      <c r="B9154"/>
    </row>
    <row r="9155" spans="1:2" x14ac:dyDescent="0.35">
      <c r="B9155"/>
    </row>
    <row r="9156" spans="1:2" x14ac:dyDescent="0.35">
      <c r="B9156"/>
    </row>
    <row r="9157" spans="1:2" ht="15.5" x14ac:dyDescent="0.35">
      <c r="A9157" s="49"/>
      <c r="B9157" s="49"/>
    </row>
    <row r="9158" spans="1:2" x14ac:dyDescent="0.35">
      <c r="B9158"/>
    </row>
    <row r="9159" spans="1:2" x14ac:dyDescent="0.35">
      <c r="B9159"/>
    </row>
    <row r="9160" spans="1:2" x14ac:dyDescent="0.35">
      <c r="B9160"/>
    </row>
    <row r="9161" spans="1:2" x14ac:dyDescent="0.35">
      <c r="B9161"/>
    </row>
    <row r="9162" spans="1:2" x14ac:dyDescent="0.35">
      <c r="B9162"/>
    </row>
    <row r="9163" spans="1:2" x14ac:dyDescent="0.35">
      <c r="B9163"/>
    </row>
    <row r="9164" spans="1:2" x14ac:dyDescent="0.35">
      <c r="B9164"/>
    </row>
    <row r="9165" spans="1:2" x14ac:dyDescent="0.35">
      <c r="B9165"/>
    </row>
    <row r="9166" spans="1:2" x14ac:dyDescent="0.35">
      <c r="B9166"/>
    </row>
    <row r="9167" spans="1:2" ht="15.5" x14ac:dyDescent="0.35">
      <c r="A9167" s="49"/>
      <c r="B9167"/>
    </row>
    <row r="9168" spans="1:2" x14ac:dyDescent="0.35">
      <c r="B9168"/>
    </row>
    <row r="9169" spans="2:2" x14ac:dyDescent="0.35">
      <c r="B9169"/>
    </row>
    <row r="9170" spans="2:2" x14ac:dyDescent="0.35">
      <c r="B9170"/>
    </row>
    <row r="9171" spans="2:2" x14ac:dyDescent="0.35">
      <c r="B9171"/>
    </row>
    <row r="9172" spans="2:2" x14ac:dyDescent="0.35">
      <c r="B9172"/>
    </row>
    <row r="9173" spans="2:2" x14ac:dyDescent="0.35">
      <c r="B9173"/>
    </row>
    <row r="9174" spans="2:2" x14ac:dyDescent="0.35">
      <c r="B9174"/>
    </row>
    <row r="9175" spans="2:2" x14ac:dyDescent="0.35">
      <c r="B9175"/>
    </row>
    <row r="9176" spans="2:2" x14ac:dyDescent="0.35">
      <c r="B9176"/>
    </row>
    <row r="9177" spans="2:2" x14ac:dyDescent="0.35">
      <c r="B9177"/>
    </row>
    <row r="9178" spans="2:2" x14ac:dyDescent="0.35">
      <c r="B9178"/>
    </row>
    <row r="9179" spans="2:2" x14ac:dyDescent="0.35">
      <c r="B9179"/>
    </row>
    <row r="9180" spans="2:2" x14ac:dyDescent="0.35">
      <c r="B9180"/>
    </row>
    <row r="9181" spans="2:2" x14ac:dyDescent="0.35">
      <c r="B9181"/>
    </row>
    <row r="9182" spans="2:2" x14ac:dyDescent="0.35">
      <c r="B9182"/>
    </row>
    <row r="9183" spans="2:2" x14ac:dyDescent="0.35">
      <c r="B9183"/>
    </row>
    <row r="9184" spans="2:2" x14ac:dyDescent="0.35">
      <c r="B9184"/>
    </row>
    <row r="9185" spans="1:2" x14ac:dyDescent="0.35">
      <c r="B9185"/>
    </row>
    <row r="9186" spans="1:2" x14ac:dyDescent="0.35">
      <c r="B9186"/>
    </row>
    <row r="9187" spans="1:2" x14ac:dyDescent="0.35">
      <c r="B9187"/>
    </row>
    <row r="9188" spans="1:2" x14ac:dyDescent="0.35">
      <c r="B9188"/>
    </row>
    <row r="9189" spans="1:2" x14ac:dyDescent="0.35">
      <c r="B9189"/>
    </row>
    <row r="9190" spans="1:2" x14ac:dyDescent="0.35">
      <c r="B9190"/>
    </row>
    <row r="9191" spans="1:2" x14ac:dyDescent="0.35">
      <c r="B9191"/>
    </row>
    <row r="9192" spans="1:2" x14ac:dyDescent="0.35">
      <c r="B9192"/>
    </row>
    <row r="9193" spans="1:2" x14ac:dyDescent="0.35">
      <c r="B9193"/>
    </row>
    <row r="9194" spans="1:2" x14ac:dyDescent="0.35">
      <c r="B9194"/>
    </row>
    <row r="9195" spans="1:2" ht="15.5" x14ac:dyDescent="0.35">
      <c r="A9195" s="49"/>
      <c r="B9195" s="49"/>
    </row>
    <row r="9196" spans="1:2" x14ac:dyDescent="0.35">
      <c r="B9196"/>
    </row>
    <row r="9197" spans="1:2" x14ac:dyDescent="0.35">
      <c r="B9197"/>
    </row>
    <row r="9198" spans="1:2" x14ac:dyDescent="0.35">
      <c r="B9198"/>
    </row>
    <row r="9199" spans="1:2" x14ac:dyDescent="0.35">
      <c r="B9199"/>
    </row>
    <row r="9200" spans="1:2" x14ac:dyDescent="0.35">
      <c r="B9200"/>
    </row>
    <row r="9201" spans="1:2" x14ac:dyDescent="0.35">
      <c r="B9201"/>
    </row>
    <row r="9202" spans="1:2" x14ac:dyDescent="0.35">
      <c r="B9202"/>
    </row>
    <row r="9203" spans="1:2" x14ac:dyDescent="0.35">
      <c r="B9203"/>
    </row>
    <row r="9204" spans="1:2" x14ac:dyDescent="0.35">
      <c r="B9204"/>
    </row>
    <row r="9205" spans="1:2" ht="15.5" x14ac:dyDescent="0.35">
      <c r="A9205" s="49"/>
      <c r="B9205"/>
    </row>
    <row r="9206" spans="1:2" x14ac:dyDescent="0.35">
      <c r="B9206"/>
    </row>
    <row r="9207" spans="1:2" x14ac:dyDescent="0.35">
      <c r="B9207"/>
    </row>
    <row r="9208" spans="1:2" x14ac:dyDescent="0.35">
      <c r="B9208"/>
    </row>
    <row r="9209" spans="1:2" x14ac:dyDescent="0.35">
      <c r="B9209"/>
    </row>
    <row r="9210" spans="1:2" x14ac:dyDescent="0.35">
      <c r="B9210"/>
    </row>
    <row r="9211" spans="1:2" x14ac:dyDescent="0.35">
      <c r="B9211"/>
    </row>
    <row r="9212" spans="1:2" x14ac:dyDescent="0.35">
      <c r="B9212"/>
    </row>
    <row r="9213" spans="1:2" x14ac:dyDescent="0.35">
      <c r="B9213"/>
    </row>
    <row r="9214" spans="1:2" x14ac:dyDescent="0.35">
      <c r="B9214"/>
    </row>
    <row r="9215" spans="1:2" x14ac:dyDescent="0.35">
      <c r="B9215"/>
    </row>
    <row r="9216" spans="1:2" x14ac:dyDescent="0.35">
      <c r="B9216"/>
    </row>
    <row r="9217" spans="2:2" x14ac:dyDescent="0.35">
      <c r="B9217"/>
    </row>
    <row r="9218" spans="2:2" x14ac:dyDescent="0.35">
      <c r="B9218"/>
    </row>
    <row r="9219" spans="2:2" x14ac:dyDescent="0.35">
      <c r="B9219"/>
    </row>
    <row r="9220" spans="2:2" x14ac:dyDescent="0.35">
      <c r="B9220"/>
    </row>
    <row r="9221" spans="2:2" x14ac:dyDescent="0.35">
      <c r="B9221"/>
    </row>
    <row r="9222" spans="2:2" x14ac:dyDescent="0.35">
      <c r="B9222"/>
    </row>
    <row r="9223" spans="2:2" x14ac:dyDescent="0.35">
      <c r="B9223"/>
    </row>
    <row r="9224" spans="2:2" x14ac:dyDescent="0.35">
      <c r="B9224"/>
    </row>
    <row r="9225" spans="2:2" x14ac:dyDescent="0.35">
      <c r="B9225"/>
    </row>
    <row r="9226" spans="2:2" x14ac:dyDescent="0.35">
      <c r="B9226"/>
    </row>
    <row r="9227" spans="2:2" x14ac:dyDescent="0.35">
      <c r="B9227"/>
    </row>
    <row r="9228" spans="2:2" x14ac:dyDescent="0.35">
      <c r="B9228"/>
    </row>
    <row r="9229" spans="2:2" x14ac:dyDescent="0.35">
      <c r="B9229"/>
    </row>
    <row r="9230" spans="2:2" x14ac:dyDescent="0.35">
      <c r="B9230"/>
    </row>
    <row r="9231" spans="2:2" x14ac:dyDescent="0.35">
      <c r="B9231"/>
    </row>
    <row r="9232" spans="2:2" x14ac:dyDescent="0.35">
      <c r="B9232"/>
    </row>
    <row r="9233" spans="1:2" ht="15.5" x14ac:dyDescent="0.35">
      <c r="A9233" s="49"/>
      <c r="B9233" s="49"/>
    </row>
    <row r="9234" spans="1:2" x14ac:dyDescent="0.35">
      <c r="B9234"/>
    </row>
    <row r="9235" spans="1:2" x14ac:dyDescent="0.35">
      <c r="B9235"/>
    </row>
    <row r="9236" spans="1:2" x14ac:dyDescent="0.35">
      <c r="B9236"/>
    </row>
    <row r="9237" spans="1:2" x14ac:dyDescent="0.35">
      <c r="B9237"/>
    </row>
    <row r="9238" spans="1:2" x14ac:dyDescent="0.35">
      <c r="B9238"/>
    </row>
    <row r="9239" spans="1:2" x14ac:dyDescent="0.35">
      <c r="B9239"/>
    </row>
    <row r="9240" spans="1:2" x14ac:dyDescent="0.35">
      <c r="B9240"/>
    </row>
    <row r="9241" spans="1:2" x14ac:dyDescent="0.35">
      <c r="B9241"/>
    </row>
    <row r="9242" spans="1:2" x14ac:dyDescent="0.35">
      <c r="B9242"/>
    </row>
    <row r="9243" spans="1:2" ht="15.5" x14ac:dyDescent="0.35">
      <c r="A9243" s="49"/>
      <c r="B9243"/>
    </row>
    <row r="9244" spans="1:2" x14ac:dyDescent="0.35">
      <c r="B9244"/>
    </row>
    <row r="9245" spans="1:2" x14ac:dyDescent="0.35">
      <c r="B9245"/>
    </row>
    <row r="9246" spans="1:2" x14ac:dyDescent="0.35">
      <c r="B9246"/>
    </row>
    <row r="9247" spans="1:2" x14ac:dyDescent="0.35">
      <c r="B9247"/>
    </row>
    <row r="9248" spans="1:2" x14ac:dyDescent="0.35">
      <c r="B9248"/>
    </row>
    <row r="9249" spans="1:2" x14ac:dyDescent="0.35">
      <c r="B9249"/>
    </row>
    <row r="9250" spans="1:2" x14ac:dyDescent="0.35">
      <c r="B9250"/>
    </row>
    <row r="9251" spans="1:2" ht="15.5" x14ac:dyDescent="0.35">
      <c r="A9251" s="49"/>
      <c r="B9251" s="49"/>
    </row>
    <row r="9252" spans="1:2" x14ac:dyDescent="0.35">
      <c r="B9252"/>
    </row>
    <row r="9253" spans="1:2" x14ac:dyDescent="0.35">
      <c r="B9253"/>
    </row>
    <row r="9254" spans="1:2" x14ac:dyDescent="0.35">
      <c r="B9254"/>
    </row>
    <row r="9255" spans="1:2" x14ac:dyDescent="0.35">
      <c r="B9255"/>
    </row>
    <row r="9256" spans="1:2" x14ac:dyDescent="0.35">
      <c r="B9256"/>
    </row>
    <row r="9257" spans="1:2" x14ac:dyDescent="0.35">
      <c r="B9257"/>
    </row>
    <row r="9258" spans="1:2" x14ac:dyDescent="0.35">
      <c r="B9258"/>
    </row>
    <row r="9259" spans="1:2" x14ac:dyDescent="0.35">
      <c r="B9259"/>
    </row>
    <row r="9260" spans="1:2" x14ac:dyDescent="0.35">
      <c r="B9260"/>
    </row>
    <row r="9261" spans="1:2" ht="15.5" x14ac:dyDescent="0.35">
      <c r="A9261" s="49"/>
      <c r="B9261"/>
    </row>
    <row r="9262" spans="1:2" x14ac:dyDescent="0.35">
      <c r="B9262"/>
    </row>
    <row r="9263" spans="1:2" x14ac:dyDescent="0.35">
      <c r="B9263"/>
    </row>
    <row r="9264" spans="1:2" x14ac:dyDescent="0.35">
      <c r="B9264"/>
    </row>
    <row r="9265" spans="1:2" x14ac:dyDescent="0.35">
      <c r="B9265"/>
    </row>
    <row r="9266" spans="1:2" x14ac:dyDescent="0.35">
      <c r="B9266"/>
    </row>
    <row r="9267" spans="1:2" x14ac:dyDescent="0.35">
      <c r="B9267"/>
    </row>
    <row r="9268" spans="1:2" x14ac:dyDescent="0.35">
      <c r="B9268"/>
    </row>
    <row r="9269" spans="1:2" x14ac:dyDescent="0.35">
      <c r="B9269"/>
    </row>
    <row r="9270" spans="1:2" ht="15.5" x14ac:dyDescent="0.35">
      <c r="A9270" s="49"/>
      <c r="B9270" s="49"/>
    </row>
    <row r="9271" spans="1:2" x14ac:dyDescent="0.35">
      <c r="B9271"/>
    </row>
    <row r="9272" spans="1:2" x14ac:dyDescent="0.35">
      <c r="B9272"/>
    </row>
    <row r="9273" spans="1:2" x14ac:dyDescent="0.35">
      <c r="B9273"/>
    </row>
    <row r="9274" spans="1:2" x14ac:dyDescent="0.35">
      <c r="B9274"/>
    </row>
    <row r="9275" spans="1:2" x14ac:dyDescent="0.35">
      <c r="B9275"/>
    </row>
    <row r="9276" spans="1:2" x14ac:dyDescent="0.35">
      <c r="B9276"/>
    </row>
    <row r="9277" spans="1:2" x14ac:dyDescent="0.35">
      <c r="B9277"/>
    </row>
    <row r="9278" spans="1:2" x14ac:dyDescent="0.35">
      <c r="B9278"/>
    </row>
    <row r="9279" spans="1:2" x14ac:dyDescent="0.35">
      <c r="B9279"/>
    </row>
    <row r="9280" spans="1:2" ht="15.5" x14ac:dyDescent="0.35">
      <c r="A9280" s="49"/>
      <c r="B9280"/>
    </row>
    <row r="9281" spans="1:2" x14ac:dyDescent="0.35">
      <c r="B9281"/>
    </row>
    <row r="9282" spans="1:2" x14ac:dyDescent="0.35">
      <c r="B9282"/>
    </row>
    <row r="9283" spans="1:2" x14ac:dyDescent="0.35">
      <c r="B9283"/>
    </row>
    <row r="9284" spans="1:2" x14ac:dyDescent="0.35">
      <c r="B9284"/>
    </row>
    <row r="9285" spans="1:2" x14ac:dyDescent="0.35">
      <c r="B9285"/>
    </row>
    <row r="9286" spans="1:2" x14ac:dyDescent="0.35">
      <c r="B9286"/>
    </row>
    <row r="9287" spans="1:2" x14ac:dyDescent="0.35">
      <c r="B9287"/>
    </row>
    <row r="9288" spans="1:2" x14ac:dyDescent="0.35">
      <c r="B9288"/>
    </row>
    <row r="9289" spans="1:2" ht="15.5" x14ac:dyDescent="0.35">
      <c r="A9289" s="49"/>
      <c r="B9289" s="49"/>
    </row>
    <row r="9290" spans="1:2" x14ac:dyDescent="0.35">
      <c r="B9290"/>
    </row>
    <row r="9291" spans="1:2" x14ac:dyDescent="0.35">
      <c r="B9291"/>
    </row>
    <row r="9292" spans="1:2" x14ac:dyDescent="0.35">
      <c r="B9292"/>
    </row>
    <row r="9293" spans="1:2" x14ac:dyDescent="0.35">
      <c r="B9293"/>
    </row>
    <row r="9294" spans="1:2" x14ac:dyDescent="0.35">
      <c r="B9294"/>
    </row>
    <row r="9295" spans="1:2" x14ac:dyDescent="0.35">
      <c r="B9295"/>
    </row>
    <row r="9296" spans="1:2" x14ac:dyDescent="0.35">
      <c r="B9296"/>
    </row>
    <row r="9297" spans="1:2" x14ac:dyDescent="0.35">
      <c r="B9297"/>
    </row>
    <row r="9298" spans="1:2" x14ac:dyDescent="0.35">
      <c r="B9298"/>
    </row>
    <row r="9299" spans="1:2" ht="15.5" x14ac:dyDescent="0.35">
      <c r="A9299" s="49"/>
      <c r="B9299"/>
    </row>
    <row r="9300" spans="1:2" x14ac:dyDescent="0.35">
      <c r="B9300"/>
    </row>
    <row r="9301" spans="1:2" x14ac:dyDescent="0.35">
      <c r="B9301"/>
    </row>
    <row r="9302" spans="1:2" x14ac:dyDescent="0.35">
      <c r="B9302"/>
    </row>
    <row r="9303" spans="1:2" x14ac:dyDescent="0.35">
      <c r="B9303"/>
    </row>
    <row r="9304" spans="1:2" x14ac:dyDescent="0.35">
      <c r="B9304"/>
    </row>
    <row r="9305" spans="1:2" x14ac:dyDescent="0.35">
      <c r="B9305"/>
    </row>
    <row r="9306" spans="1:2" x14ac:dyDescent="0.35">
      <c r="B9306"/>
    </row>
    <row r="9307" spans="1:2" x14ac:dyDescent="0.35">
      <c r="B9307"/>
    </row>
    <row r="9308" spans="1:2" x14ac:dyDescent="0.35">
      <c r="B9308"/>
    </row>
    <row r="9309" spans="1:2" x14ac:dyDescent="0.35">
      <c r="B9309"/>
    </row>
    <row r="9310" spans="1:2" x14ac:dyDescent="0.35">
      <c r="B9310"/>
    </row>
    <row r="9311" spans="1:2" x14ac:dyDescent="0.35">
      <c r="B9311"/>
    </row>
    <row r="9312" spans="1:2" x14ac:dyDescent="0.35">
      <c r="B9312"/>
    </row>
    <row r="9313" spans="1:2" x14ac:dyDescent="0.35">
      <c r="B9313"/>
    </row>
    <row r="9314" spans="1:2" x14ac:dyDescent="0.35">
      <c r="B9314"/>
    </row>
    <row r="9315" spans="1:2" ht="15.5" x14ac:dyDescent="0.35">
      <c r="A9315" s="49"/>
      <c r="B9315" s="49"/>
    </row>
    <row r="9316" spans="1:2" x14ac:dyDescent="0.35">
      <c r="B9316"/>
    </row>
    <row r="9317" spans="1:2" x14ac:dyDescent="0.35">
      <c r="B9317"/>
    </row>
    <row r="9318" spans="1:2" x14ac:dyDescent="0.35">
      <c r="B9318"/>
    </row>
    <row r="9319" spans="1:2" x14ac:dyDescent="0.35">
      <c r="B9319"/>
    </row>
    <row r="9320" spans="1:2" x14ac:dyDescent="0.35">
      <c r="B9320"/>
    </row>
    <row r="9321" spans="1:2" x14ac:dyDescent="0.35">
      <c r="B9321"/>
    </row>
    <row r="9322" spans="1:2" x14ac:dyDescent="0.35">
      <c r="B9322"/>
    </row>
    <row r="9323" spans="1:2" x14ac:dyDescent="0.35">
      <c r="B9323"/>
    </row>
    <row r="9324" spans="1:2" x14ac:dyDescent="0.35">
      <c r="B9324"/>
    </row>
    <row r="9325" spans="1:2" ht="15.5" x14ac:dyDescent="0.35">
      <c r="A9325" s="49"/>
      <c r="B9325"/>
    </row>
    <row r="9326" spans="1:2" x14ac:dyDescent="0.35">
      <c r="B9326"/>
    </row>
    <row r="9327" spans="1:2" x14ac:dyDescent="0.35">
      <c r="B9327"/>
    </row>
    <row r="9328" spans="1:2" x14ac:dyDescent="0.35">
      <c r="B9328"/>
    </row>
    <row r="9329" spans="1:2" x14ac:dyDescent="0.35">
      <c r="B9329"/>
    </row>
    <row r="9330" spans="1:2" x14ac:dyDescent="0.35">
      <c r="B9330"/>
    </row>
    <row r="9331" spans="1:2" x14ac:dyDescent="0.35">
      <c r="B9331"/>
    </row>
    <row r="9332" spans="1:2" x14ac:dyDescent="0.35">
      <c r="B9332"/>
    </row>
    <row r="9333" spans="1:2" x14ac:dyDescent="0.35">
      <c r="B9333"/>
    </row>
    <row r="9334" spans="1:2" x14ac:dyDescent="0.35">
      <c r="B9334"/>
    </row>
    <row r="9335" spans="1:2" x14ac:dyDescent="0.35">
      <c r="B9335"/>
    </row>
    <row r="9336" spans="1:2" x14ac:dyDescent="0.35">
      <c r="B9336"/>
    </row>
    <row r="9337" spans="1:2" x14ac:dyDescent="0.35">
      <c r="B9337"/>
    </row>
    <row r="9338" spans="1:2" x14ac:dyDescent="0.35">
      <c r="B9338"/>
    </row>
    <row r="9339" spans="1:2" x14ac:dyDescent="0.35">
      <c r="B9339"/>
    </row>
    <row r="9340" spans="1:2" x14ac:dyDescent="0.35">
      <c r="B9340"/>
    </row>
    <row r="9341" spans="1:2" ht="15.5" x14ac:dyDescent="0.35">
      <c r="A9341" s="49"/>
      <c r="B9341" s="49"/>
    </row>
    <row r="9342" spans="1:2" x14ac:dyDescent="0.35">
      <c r="B9342"/>
    </row>
    <row r="9343" spans="1:2" x14ac:dyDescent="0.35">
      <c r="B9343"/>
    </row>
    <row r="9344" spans="1:2" x14ac:dyDescent="0.35">
      <c r="B9344"/>
    </row>
    <row r="9345" spans="1:2" x14ac:dyDescent="0.35">
      <c r="B9345"/>
    </row>
    <row r="9346" spans="1:2" x14ac:dyDescent="0.35">
      <c r="B9346"/>
    </row>
    <row r="9347" spans="1:2" x14ac:dyDescent="0.35">
      <c r="B9347"/>
    </row>
    <row r="9348" spans="1:2" x14ac:dyDescent="0.35">
      <c r="B9348"/>
    </row>
    <row r="9349" spans="1:2" x14ac:dyDescent="0.35">
      <c r="B9349"/>
    </row>
    <row r="9350" spans="1:2" x14ac:dyDescent="0.35">
      <c r="B9350"/>
    </row>
    <row r="9351" spans="1:2" ht="15.5" x14ac:dyDescent="0.35">
      <c r="A9351" s="49"/>
      <c r="B9351"/>
    </row>
    <row r="9352" spans="1:2" x14ac:dyDescent="0.35">
      <c r="B9352"/>
    </row>
    <row r="9353" spans="1:2" x14ac:dyDescent="0.35">
      <c r="B9353"/>
    </row>
    <row r="9354" spans="1:2" x14ac:dyDescent="0.35">
      <c r="B9354"/>
    </row>
    <row r="9355" spans="1:2" x14ac:dyDescent="0.35">
      <c r="B9355"/>
    </row>
    <row r="9356" spans="1:2" x14ac:dyDescent="0.35">
      <c r="B9356"/>
    </row>
    <row r="9357" spans="1:2" x14ac:dyDescent="0.35">
      <c r="B9357"/>
    </row>
    <row r="9358" spans="1:2" x14ac:dyDescent="0.35">
      <c r="B9358"/>
    </row>
    <row r="9359" spans="1:2" x14ac:dyDescent="0.35">
      <c r="B9359"/>
    </row>
    <row r="9360" spans="1:2" x14ac:dyDescent="0.35">
      <c r="B9360"/>
    </row>
    <row r="9361" spans="1:2" ht="15.5" x14ac:dyDescent="0.35">
      <c r="A9361" s="49"/>
      <c r="B9361" s="49"/>
    </row>
    <row r="9362" spans="1:2" x14ac:dyDescent="0.35">
      <c r="B9362"/>
    </row>
    <row r="9363" spans="1:2" x14ac:dyDescent="0.35">
      <c r="B9363"/>
    </row>
    <row r="9364" spans="1:2" x14ac:dyDescent="0.35">
      <c r="B9364"/>
    </row>
    <row r="9365" spans="1:2" x14ac:dyDescent="0.35">
      <c r="B9365"/>
    </row>
    <row r="9366" spans="1:2" x14ac:dyDescent="0.35">
      <c r="B9366"/>
    </row>
    <row r="9367" spans="1:2" x14ac:dyDescent="0.35">
      <c r="B9367"/>
    </row>
    <row r="9368" spans="1:2" x14ac:dyDescent="0.35">
      <c r="B9368"/>
    </row>
    <row r="9369" spans="1:2" x14ac:dyDescent="0.35">
      <c r="B9369"/>
    </row>
    <row r="9370" spans="1:2" x14ac:dyDescent="0.35">
      <c r="B9370"/>
    </row>
    <row r="9371" spans="1:2" ht="15.5" x14ac:dyDescent="0.35">
      <c r="A9371" s="49"/>
      <c r="B9371"/>
    </row>
    <row r="9372" spans="1:2" x14ac:dyDescent="0.35">
      <c r="B9372"/>
    </row>
    <row r="9373" spans="1:2" x14ac:dyDescent="0.35">
      <c r="B9373"/>
    </row>
    <row r="9374" spans="1:2" x14ac:dyDescent="0.35">
      <c r="B9374"/>
    </row>
    <row r="9375" spans="1:2" x14ac:dyDescent="0.35">
      <c r="B9375"/>
    </row>
    <row r="9376" spans="1:2" x14ac:dyDescent="0.35">
      <c r="B9376"/>
    </row>
    <row r="9377" spans="2:2" x14ac:dyDescent="0.35">
      <c r="B9377"/>
    </row>
    <row r="9378" spans="2:2" x14ac:dyDescent="0.35">
      <c r="B9378"/>
    </row>
    <row r="9379" spans="2:2" x14ac:dyDescent="0.35">
      <c r="B9379"/>
    </row>
    <row r="9380" spans="2:2" x14ac:dyDescent="0.35">
      <c r="B9380"/>
    </row>
    <row r="9381" spans="2:2" x14ac:dyDescent="0.35">
      <c r="B9381"/>
    </row>
    <row r="9382" spans="2:2" x14ac:dyDescent="0.35">
      <c r="B9382"/>
    </row>
    <row r="9383" spans="2:2" x14ac:dyDescent="0.35">
      <c r="B9383"/>
    </row>
    <row r="9384" spans="2:2" x14ac:dyDescent="0.35">
      <c r="B9384"/>
    </row>
    <row r="9385" spans="2:2" x14ac:dyDescent="0.35">
      <c r="B9385"/>
    </row>
    <row r="9386" spans="2:2" x14ac:dyDescent="0.35">
      <c r="B9386"/>
    </row>
    <row r="9387" spans="2:2" x14ac:dyDescent="0.35">
      <c r="B9387"/>
    </row>
    <row r="9388" spans="2:2" x14ac:dyDescent="0.35">
      <c r="B9388"/>
    </row>
    <row r="9389" spans="2:2" x14ac:dyDescent="0.35">
      <c r="B9389"/>
    </row>
    <row r="9390" spans="2:2" x14ac:dyDescent="0.35">
      <c r="B9390"/>
    </row>
    <row r="9391" spans="2:2" x14ac:dyDescent="0.35">
      <c r="B9391"/>
    </row>
    <row r="9392" spans="2:2" x14ac:dyDescent="0.35">
      <c r="B9392"/>
    </row>
    <row r="9393" spans="1:2" x14ac:dyDescent="0.35">
      <c r="B9393"/>
    </row>
    <row r="9394" spans="1:2" x14ac:dyDescent="0.35">
      <c r="B9394"/>
    </row>
    <row r="9395" spans="1:2" ht="15.5" x14ac:dyDescent="0.35">
      <c r="A9395" s="49"/>
      <c r="B9395" s="49"/>
    </row>
    <row r="9396" spans="1:2" x14ac:dyDescent="0.35">
      <c r="B9396"/>
    </row>
    <row r="9397" spans="1:2" x14ac:dyDescent="0.35">
      <c r="B9397"/>
    </row>
    <row r="9398" spans="1:2" x14ac:dyDescent="0.35">
      <c r="B9398"/>
    </row>
    <row r="9399" spans="1:2" x14ac:dyDescent="0.35">
      <c r="B9399"/>
    </row>
    <row r="9400" spans="1:2" x14ac:dyDescent="0.35">
      <c r="B9400"/>
    </row>
    <row r="9401" spans="1:2" x14ac:dyDescent="0.35">
      <c r="B9401"/>
    </row>
    <row r="9402" spans="1:2" x14ac:dyDescent="0.35">
      <c r="B9402"/>
    </row>
    <row r="9403" spans="1:2" x14ac:dyDescent="0.35">
      <c r="B9403"/>
    </row>
    <row r="9404" spans="1:2" x14ac:dyDescent="0.35">
      <c r="B9404"/>
    </row>
    <row r="9405" spans="1:2" ht="15.5" x14ac:dyDescent="0.35">
      <c r="A9405" s="49"/>
      <c r="B9405"/>
    </row>
    <row r="9406" spans="1:2" x14ac:dyDescent="0.35">
      <c r="B9406"/>
    </row>
    <row r="9407" spans="1:2" x14ac:dyDescent="0.35">
      <c r="B9407"/>
    </row>
    <row r="9408" spans="1:2" x14ac:dyDescent="0.35">
      <c r="B9408"/>
    </row>
    <row r="9409" spans="2:2" x14ac:dyDescent="0.35">
      <c r="B9409"/>
    </row>
    <row r="9410" spans="2:2" x14ac:dyDescent="0.35">
      <c r="B9410"/>
    </row>
    <row r="9411" spans="2:2" x14ac:dyDescent="0.35">
      <c r="B9411"/>
    </row>
    <row r="9412" spans="2:2" x14ac:dyDescent="0.35">
      <c r="B9412"/>
    </row>
    <row r="9413" spans="2:2" x14ac:dyDescent="0.35">
      <c r="B9413"/>
    </row>
    <row r="9414" spans="2:2" x14ac:dyDescent="0.35">
      <c r="B9414"/>
    </row>
    <row r="9415" spans="2:2" x14ac:dyDescent="0.35">
      <c r="B9415"/>
    </row>
    <row r="9416" spans="2:2" x14ac:dyDescent="0.35">
      <c r="B9416"/>
    </row>
    <row r="9417" spans="2:2" x14ac:dyDescent="0.35">
      <c r="B9417"/>
    </row>
    <row r="9418" spans="2:2" x14ac:dyDescent="0.35">
      <c r="B9418"/>
    </row>
    <row r="9419" spans="2:2" x14ac:dyDescent="0.35">
      <c r="B9419"/>
    </row>
    <row r="9420" spans="2:2" x14ac:dyDescent="0.35">
      <c r="B9420"/>
    </row>
    <row r="9421" spans="2:2" x14ac:dyDescent="0.35">
      <c r="B9421"/>
    </row>
    <row r="9422" spans="2:2" x14ac:dyDescent="0.35">
      <c r="B9422"/>
    </row>
    <row r="9423" spans="2:2" x14ac:dyDescent="0.35">
      <c r="B9423"/>
    </row>
    <row r="9424" spans="2:2" x14ac:dyDescent="0.35">
      <c r="B9424"/>
    </row>
    <row r="9425" spans="1:2" x14ac:dyDescent="0.35">
      <c r="B9425"/>
    </row>
    <row r="9426" spans="1:2" x14ac:dyDescent="0.35">
      <c r="B9426"/>
    </row>
    <row r="9427" spans="1:2" x14ac:dyDescent="0.35">
      <c r="B9427"/>
    </row>
    <row r="9428" spans="1:2" x14ac:dyDescent="0.35">
      <c r="B9428"/>
    </row>
    <row r="9429" spans="1:2" ht="15.5" x14ac:dyDescent="0.35">
      <c r="A9429" s="49"/>
      <c r="B9429" s="49"/>
    </row>
    <row r="9430" spans="1:2" x14ac:dyDescent="0.35">
      <c r="B9430"/>
    </row>
    <row r="9431" spans="1:2" x14ac:dyDescent="0.35">
      <c r="B9431"/>
    </row>
    <row r="9432" spans="1:2" x14ac:dyDescent="0.35">
      <c r="B9432"/>
    </row>
    <row r="9433" spans="1:2" x14ac:dyDescent="0.35">
      <c r="B9433"/>
    </row>
    <row r="9434" spans="1:2" x14ac:dyDescent="0.35">
      <c r="B9434"/>
    </row>
    <row r="9435" spans="1:2" x14ac:dyDescent="0.35">
      <c r="B9435"/>
    </row>
    <row r="9436" spans="1:2" x14ac:dyDescent="0.35">
      <c r="B9436"/>
    </row>
    <row r="9437" spans="1:2" x14ac:dyDescent="0.35">
      <c r="B9437"/>
    </row>
    <row r="9438" spans="1:2" x14ac:dyDescent="0.35">
      <c r="B9438"/>
    </row>
    <row r="9439" spans="1:2" ht="15.5" x14ac:dyDescent="0.35">
      <c r="A9439" s="49"/>
      <c r="B9439"/>
    </row>
    <row r="9440" spans="1:2" x14ac:dyDescent="0.35">
      <c r="B9440"/>
    </row>
    <row r="9441" spans="2:2" x14ac:dyDescent="0.35">
      <c r="B9441"/>
    </row>
    <row r="9442" spans="2:2" x14ac:dyDescent="0.35">
      <c r="B9442"/>
    </row>
    <row r="9443" spans="2:2" x14ac:dyDescent="0.35">
      <c r="B9443"/>
    </row>
    <row r="9444" spans="2:2" x14ac:dyDescent="0.35">
      <c r="B9444"/>
    </row>
    <row r="9445" spans="2:2" x14ac:dyDescent="0.35">
      <c r="B9445"/>
    </row>
    <row r="9446" spans="2:2" x14ac:dyDescent="0.35">
      <c r="B9446"/>
    </row>
    <row r="9447" spans="2:2" x14ac:dyDescent="0.35">
      <c r="B9447"/>
    </row>
    <row r="9448" spans="2:2" x14ac:dyDescent="0.35">
      <c r="B9448"/>
    </row>
    <row r="9449" spans="2:2" x14ac:dyDescent="0.35">
      <c r="B9449"/>
    </row>
    <row r="9450" spans="2:2" x14ac:dyDescent="0.35">
      <c r="B9450"/>
    </row>
    <row r="9451" spans="2:2" x14ac:dyDescent="0.35">
      <c r="B9451"/>
    </row>
    <row r="9452" spans="2:2" x14ac:dyDescent="0.35">
      <c r="B9452"/>
    </row>
    <row r="9453" spans="2:2" x14ac:dyDescent="0.35">
      <c r="B9453"/>
    </row>
    <row r="9454" spans="2:2" x14ac:dyDescent="0.35">
      <c r="B9454"/>
    </row>
    <row r="9455" spans="2:2" x14ac:dyDescent="0.35">
      <c r="B9455"/>
    </row>
    <row r="9456" spans="2:2" x14ac:dyDescent="0.35">
      <c r="B9456"/>
    </row>
    <row r="9457" spans="1:2" x14ac:dyDescent="0.35">
      <c r="B9457"/>
    </row>
    <row r="9458" spans="1:2" x14ac:dyDescent="0.35">
      <c r="B9458"/>
    </row>
    <row r="9459" spans="1:2" x14ac:dyDescent="0.35">
      <c r="B9459"/>
    </row>
    <row r="9460" spans="1:2" x14ac:dyDescent="0.35">
      <c r="B9460"/>
    </row>
    <row r="9461" spans="1:2" x14ac:dyDescent="0.35">
      <c r="B9461"/>
    </row>
    <row r="9462" spans="1:2" x14ac:dyDescent="0.35">
      <c r="B9462"/>
    </row>
    <row r="9463" spans="1:2" ht="15.5" x14ac:dyDescent="0.35">
      <c r="A9463" s="49"/>
      <c r="B9463" s="49"/>
    </row>
    <row r="9464" spans="1:2" x14ac:dyDescent="0.35">
      <c r="B9464"/>
    </row>
    <row r="9465" spans="1:2" x14ac:dyDescent="0.35">
      <c r="B9465"/>
    </row>
    <row r="9466" spans="1:2" x14ac:dyDescent="0.35">
      <c r="B9466"/>
    </row>
    <row r="9467" spans="1:2" x14ac:dyDescent="0.35">
      <c r="B9467"/>
    </row>
    <row r="9468" spans="1:2" x14ac:dyDescent="0.35">
      <c r="B9468"/>
    </row>
    <row r="9469" spans="1:2" x14ac:dyDescent="0.35">
      <c r="B9469"/>
    </row>
    <row r="9470" spans="1:2" x14ac:dyDescent="0.35">
      <c r="B9470"/>
    </row>
    <row r="9471" spans="1:2" x14ac:dyDescent="0.35">
      <c r="B9471"/>
    </row>
    <row r="9472" spans="1:2" x14ac:dyDescent="0.35">
      <c r="B9472"/>
    </row>
    <row r="9473" spans="1:2" ht="15.5" x14ac:dyDescent="0.35">
      <c r="A9473" s="49"/>
      <c r="B9473"/>
    </row>
    <row r="9474" spans="1:2" x14ac:dyDescent="0.35">
      <c r="B9474"/>
    </row>
    <row r="9475" spans="1:2" x14ac:dyDescent="0.35">
      <c r="B9475"/>
    </row>
    <row r="9476" spans="1:2" x14ac:dyDescent="0.35">
      <c r="B9476"/>
    </row>
    <row r="9477" spans="1:2" x14ac:dyDescent="0.35">
      <c r="B9477"/>
    </row>
    <row r="9478" spans="1:2" x14ac:dyDescent="0.35">
      <c r="B9478"/>
    </row>
    <row r="9479" spans="1:2" x14ac:dyDescent="0.35">
      <c r="B9479"/>
    </row>
    <row r="9480" spans="1:2" x14ac:dyDescent="0.35">
      <c r="B9480"/>
    </row>
    <row r="9481" spans="1:2" x14ac:dyDescent="0.35">
      <c r="B9481"/>
    </row>
    <row r="9482" spans="1:2" x14ac:dyDescent="0.35">
      <c r="B9482"/>
    </row>
    <row r="9483" spans="1:2" x14ac:dyDescent="0.35">
      <c r="B9483"/>
    </row>
    <row r="9484" spans="1:2" x14ac:dyDescent="0.35">
      <c r="B9484"/>
    </row>
    <row r="9485" spans="1:2" x14ac:dyDescent="0.35">
      <c r="B9485"/>
    </row>
    <row r="9486" spans="1:2" x14ac:dyDescent="0.35">
      <c r="B9486"/>
    </row>
    <row r="9487" spans="1:2" x14ac:dyDescent="0.35">
      <c r="B9487"/>
    </row>
    <row r="9488" spans="1:2" x14ac:dyDescent="0.35">
      <c r="B9488"/>
    </row>
    <row r="9489" spans="1:2" x14ac:dyDescent="0.35">
      <c r="B9489"/>
    </row>
    <row r="9490" spans="1:2" x14ac:dyDescent="0.35">
      <c r="B9490"/>
    </row>
    <row r="9491" spans="1:2" x14ac:dyDescent="0.35">
      <c r="B9491"/>
    </row>
    <row r="9492" spans="1:2" x14ac:dyDescent="0.35">
      <c r="B9492"/>
    </row>
    <row r="9493" spans="1:2" x14ac:dyDescent="0.35">
      <c r="B9493"/>
    </row>
    <row r="9494" spans="1:2" x14ac:dyDescent="0.35">
      <c r="B9494"/>
    </row>
    <row r="9495" spans="1:2" x14ac:dyDescent="0.35">
      <c r="B9495"/>
    </row>
    <row r="9496" spans="1:2" x14ac:dyDescent="0.35">
      <c r="B9496"/>
    </row>
    <row r="9497" spans="1:2" ht="15.5" x14ac:dyDescent="0.35">
      <c r="A9497" s="49"/>
      <c r="B9497" s="49"/>
    </row>
    <row r="9498" spans="1:2" x14ac:dyDescent="0.35">
      <c r="B9498"/>
    </row>
    <row r="9499" spans="1:2" x14ac:dyDescent="0.35">
      <c r="B9499"/>
    </row>
    <row r="9500" spans="1:2" x14ac:dyDescent="0.35">
      <c r="B9500"/>
    </row>
    <row r="9501" spans="1:2" x14ac:dyDescent="0.35">
      <c r="B9501"/>
    </row>
    <row r="9502" spans="1:2" x14ac:dyDescent="0.35">
      <c r="B9502"/>
    </row>
    <row r="9503" spans="1:2" x14ac:dyDescent="0.35">
      <c r="B9503"/>
    </row>
    <row r="9504" spans="1:2" x14ac:dyDescent="0.35">
      <c r="B9504"/>
    </row>
    <row r="9505" spans="1:2" x14ac:dyDescent="0.35">
      <c r="B9505"/>
    </row>
    <row r="9506" spans="1:2" x14ac:dyDescent="0.35">
      <c r="B9506"/>
    </row>
    <row r="9507" spans="1:2" ht="15.5" x14ac:dyDescent="0.35">
      <c r="A9507" s="49"/>
      <c r="B9507"/>
    </row>
    <row r="9508" spans="1:2" x14ac:dyDescent="0.35">
      <c r="B9508"/>
    </row>
    <row r="9509" spans="1:2" x14ac:dyDescent="0.35">
      <c r="B9509"/>
    </row>
    <row r="9510" spans="1:2" x14ac:dyDescent="0.35">
      <c r="B9510"/>
    </row>
    <row r="9511" spans="1:2" x14ac:dyDescent="0.35">
      <c r="B9511"/>
    </row>
    <row r="9512" spans="1:2" x14ac:dyDescent="0.35">
      <c r="B9512"/>
    </row>
    <row r="9513" spans="1:2" x14ac:dyDescent="0.35">
      <c r="B9513"/>
    </row>
    <row r="9514" spans="1:2" x14ac:dyDescent="0.35">
      <c r="B9514"/>
    </row>
    <row r="9515" spans="1:2" x14ac:dyDescent="0.35">
      <c r="B9515"/>
    </row>
    <row r="9516" spans="1:2" x14ac:dyDescent="0.35">
      <c r="B9516"/>
    </row>
    <row r="9517" spans="1:2" x14ac:dyDescent="0.35">
      <c r="B9517"/>
    </row>
    <row r="9518" spans="1:2" x14ac:dyDescent="0.35">
      <c r="B9518"/>
    </row>
    <row r="9519" spans="1:2" x14ac:dyDescent="0.35">
      <c r="B9519"/>
    </row>
    <row r="9520" spans="1:2" x14ac:dyDescent="0.35">
      <c r="B9520"/>
    </row>
    <row r="9521" spans="1:2" x14ac:dyDescent="0.35">
      <c r="B9521"/>
    </row>
    <row r="9522" spans="1:2" x14ac:dyDescent="0.35">
      <c r="B9522"/>
    </row>
    <row r="9523" spans="1:2" x14ac:dyDescent="0.35">
      <c r="B9523"/>
    </row>
    <row r="9524" spans="1:2" x14ac:dyDescent="0.35">
      <c r="B9524"/>
    </row>
    <row r="9525" spans="1:2" x14ac:dyDescent="0.35">
      <c r="B9525"/>
    </row>
    <row r="9526" spans="1:2" x14ac:dyDescent="0.35">
      <c r="B9526"/>
    </row>
    <row r="9527" spans="1:2" x14ac:dyDescent="0.35">
      <c r="B9527"/>
    </row>
    <row r="9528" spans="1:2" x14ac:dyDescent="0.35">
      <c r="B9528"/>
    </row>
    <row r="9529" spans="1:2" x14ac:dyDescent="0.35">
      <c r="B9529"/>
    </row>
    <row r="9530" spans="1:2" x14ac:dyDescent="0.35">
      <c r="B9530"/>
    </row>
    <row r="9531" spans="1:2" ht="15.5" x14ac:dyDescent="0.35">
      <c r="A9531" s="49"/>
      <c r="B9531" s="49"/>
    </row>
    <row r="9532" spans="1:2" x14ac:dyDescent="0.35">
      <c r="B9532"/>
    </row>
    <row r="9533" spans="1:2" x14ac:dyDescent="0.35">
      <c r="B9533"/>
    </row>
    <row r="9534" spans="1:2" x14ac:dyDescent="0.35">
      <c r="B9534"/>
    </row>
    <row r="9535" spans="1:2" x14ac:dyDescent="0.35">
      <c r="B9535"/>
    </row>
    <row r="9536" spans="1:2" x14ac:dyDescent="0.35">
      <c r="B9536"/>
    </row>
    <row r="9537" spans="1:2" x14ac:dyDescent="0.35">
      <c r="B9537"/>
    </row>
    <row r="9538" spans="1:2" x14ac:dyDescent="0.35">
      <c r="B9538"/>
    </row>
    <row r="9539" spans="1:2" x14ac:dyDescent="0.35">
      <c r="B9539"/>
    </row>
    <row r="9540" spans="1:2" x14ac:dyDescent="0.35">
      <c r="B9540"/>
    </row>
    <row r="9541" spans="1:2" ht="15.5" x14ac:dyDescent="0.35">
      <c r="A9541" s="49"/>
      <c r="B9541"/>
    </row>
    <row r="9542" spans="1:2" x14ac:dyDescent="0.35">
      <c r="B9542"/>
    </row>
    <row r="9543" spans="1:2" x14ac:dyDescent="0.35">
      <c r="B9543"/>
    </row>
    <row r="9544" spans="1:2" x14ac:dyDescent="0.35">
      <c r="B9544"/>
    </row>
    <row r="9545" spans="1:2" x14ac:dyDescent="0.35">
      <c r="B9545"/>
    </row>
    <row r="9546" spans="1:2" x14ac:dyDescent="0.35">
      <c r="B9546"/>
    </row>
    <row r="9547" spans="1:2" x14ac:dyDescent="0.35">
      <c r="B9547"/>
    </row>
    <row r="9548" spans="1:2" x14ac:dyDescent="0.35">
      <c r="B9548"/>
    </row>
    <row r="9549" spans="1:2" x14ac:dyDescent="0.35">
      <c r="B9549"/>
    </row>
    <row r="9550" spans="1:2" x14ac:dyDescent="0.35">
      <c r="B9550"/>
    </row>
    <row r="9551" spans="1:2" x14ac:dyDescent="0.35">
      <c r="B9551"/>
    </row>
    <row r="9552" spans="1:2" x14ac:dyDescent="0.35">
      <c r="B9552"/>
    </row>
    <row r="9553" spans="1:2" x14ac:dyDescent="0.35">
      <c r="B9553"/>
    </row>
    <row r="9554" spans="1:2" x14ac:dyDescent="0.35">
      <c r="B9554"/>
    </row>
    <row r="9555" spans="1:2" x14ac:dyDescent="0.35">
      <c r="B9555"/>
    </row>
    <row r="9556" spans="1:2" x14ac:dyDescent="0.35">
      <c r="B9556"/>
    </row>
    <row r="9557" spans="1:2" x14ac:dyDescent="0.35">
      <c r="B9557"/>
    </row>
    <row r="9558" spans="1:2" x14ac:dyDescent="0.35">
      <c r="B9558"/>
    </row>
    <row r="9559" spans="1:2" x14ac:dyDescent="0.35">
      <c r="B9559"/>
    </row>
    <row r="9560" spans="1:2" x14ac:dyDescent="0.35">
      <c r="B9560"/>
    </row>
    <row r="9561" spans="1:2" x14ac:dyDescent="0.35">
      <c r="B9561"/>
    </row>
    <row r="9562" spans="1:2" x14ac:dyDescent="0.35">
      <c r="B9562"/>
    </row>
    <row r="9563" spans="1:2" x14ac:dyDescent="0.35">
      <c r="B9563"/>
    </row>
    <row r="9564" spans="1:2" x14ac:dyDescent="0.35">
      <c r="B9564"/>
    </row>
    <row r="9565" spans="1:2" ht="15.5" x14ac:dyDescent="0.35">
      <c r="A9565" s="49"/>
      <c r="B9565" s="49"/>
    </row>
    <row r="9566" spans="1:2" x14ac:dyDescent="0.35">
      <c r="B9566"/>
    </row>
    <row r="9567" spans="1:2" x14ac:dyDescent="0.35">
      <c r="B9567"/>
    </row>
    <row r="9568" spans="1:2" x14ac:dyDescent="0.35">
      <c r="B9568"/>
    </row>
    <row r="9569" spans="1:2" x14ac:dyDescent="0.35">
      <c r="B9569"/>
    </row>
    <row r="9570" spans="1:2" x14ac:dyDescent="0.35">
      <c r="B9570"/>
    </row>
    <row r="9571" spans="1:2" x14ac:dyDescent="0.35">
      <c r="B9571"/>
    </row>
    <row r="9572" spans="1:2" x14ac:dyDescent="0.35">
      <c r="B9572"/>
    </row>
    <row r="9573" spans="1:2" x14ac:dyDescent="0.35">
      <c r="B9573"/>
    </row>
    <row r="9574" spans="1:2" x14ac:dyDescent="0.35">
      <c r="B9574"/>
    </row>
    <row r="9575" spans="1:2" ht="15.5" x14ac:dyDescent="0.35">
      <c r="A9575" s="49"/>
      <c r="B9575"/>
    </row>
    <row r="9576" spans="1:2" x14ac:dyDescent="0.35">
      <c r="B9576"/>
    </row>
    <row r="9577" spans="1:2" x14ac:dyDescent="0.35">
      <c r="B9577"/>
    </row>
    <row r="9578" spans="1:2" x14ac:dyDescent="0.35">
      <c r="B9578"/>
    </row>
    <row r="9579" spans="1:2" x14ac:dyDescent="0.35">
      <c r="B9579"/>
    </row>
    <row r="9580" spans="1:2" x14ac:dyDescent="0.35">
      <c r="B9580"/>
    </row>
    <row r="9581" spans="1:2" x14ac:dyDescent="0.35">
      <c r="B9581"/>
    </row>
    <row r="9582" spans="1:2" x14ac:dyDescent="0.35">
      <c r="B9582"/>
    </row>
    <row r="9583" spans="1:2" x14ac:dyDescent="0.35">
      <c r="B9583"/>
    </row>
    <row r="9584" spans="1:2" x14ac:dyDescent="0.35">
      <c r="B9584"/>
    </row>
    <row r="9585" spans="1:2" x14ac:dyDescent="0.35">
      <c r="B9585"/>
    </row>
    <row r="9586" spans="1:2" x14ac:dyDescent="0.35">
      <c r="B9586"/>
    </row>
    <row r="9587" spans="1:2" x14ac:dyDescent="0.35">
      <c r="B9587"/>
    </row>
    <row r="9588" spans="1:2" x14ac:dyDescent="0.35">
      <c r="B9588"/>
    </row>
    <row r="9589" spans="1:2" x14ac:dyDescent="0.35">
      <c r="B9589"/>
    </row>
    <row r="9590" spans="1:2" x14ac:dyDescent="0.35">
      <c r="B9590"/>
    </row>
    <row r="9591" spans="1:2" x14ac:dyDescent="0.35">
      <c r="B9591"/>
    </row>
    <row r="9592" spans="1:2" x14ac:dyDescent="0.35">
      <c r="B9592"/>
    </row>
    <row r="9593" spans="1:2" x14ac:dyDescent="0.35">
      <c r="B9593"/>
    </row>
    <row r="9594" spans="1:2" x14ac:dyDescent="0.35">
      <c r="B9594"/>
    </row>
    <row r="9595" spans="1:2" x14ac:dyDescent="0.35">
      <c r="B9595"/>
    </row>
    <row r="9596" spans="1:2" x14ac:dyDescent="0.35">
      <c r="B9596"/>
    </row>
    <row r="9597" spans="1:2" x14ac:dyDescent="0.35">
      <c r="B9597"/>
    </row>
    <row r="9598" spans="1:2" x14ac:dyDescent="0.35">
      <c r="B9598"/>
    </row>
    <row r="9599" spans="1:2" ht="15.5" x14ac:dyDescent="0.35">
      <c r="A9599" s="49"/>
      <c r="B9599" s="49"/>
    </row>
    <row r="9600" spans="1:2" x14ac:dyDescent="0.35">
      <c r="B9600"/>
    </row>
    <row r="9601" spans="1:2" x14ac:dyDescent="0.35">
      <c r="B9601"/>
    </row>
    <row r="9602" spans="1:2" x14ac:dyDescent="0.35">
      <c r="B9602"/>
    </row>
    <row r="9603" spans="1:2" x14ac:dyDescent="0.35">
      <c r="B9603"/>
    </row>
    <row r="9604" spans="1:2" x14ac:dyDescent="0.35">
      <c r="B9604"/>
    </row>
    <row r="9605" spans="1:2" x14ac:dyDescent="0.35">
      <c r="B9605"/>
    </row>
    <row r="9606" spans="1:2" x14ac:dyDescent="0.35">
      <c r="B9606"/>
    </row>
    <row r="9607" spans="1:2" x14ac:dyDescent="0.35">
      <c r="B9607"/>
    </row>
    <row r="9608" spans="1:2" x14ac:dyDescent="0.35">
      <c r="B9608"/>
    </row>
    <row r="9609" spans="1:2" ht="15.5" x14ac:dyDescent="0.35">
      <c r="A9609" s="49"/>
      <c r="B9609"/>
    </row>
    <row r="9610" spans="1:2" x14ac:dyDescent="0.35">
      <c r="B9610"/>
    </row>
    <row r="9611" spans="1:2" x14ac:dyDescent="0.35">
      <c r="B9611"/>
    </row>
    <row r="9612" spans="1:2" x14ac:dyDescent="0.35">
      <c r="B9612"/>
    </row>
    <row r="9613" spans="1:2" x14ac:dyDescent="0.35">
      <c r="B9613"/>
    </row>
    <row r="9614" spans="1:2" x14ac:dyDescent="0.35">
      <c r="B9614"/>
    </row>
    <row r="9615" spans="1:2" x14ac:dyDescent="0.35">
      <c r="B9615"/>
    </row>
    <row r="9616" spans="1:2" x14ac:dyDescent="0.35">
      <c r="B9616"/>
    </row>
    <row r="9617" spans="2:2" x14ac:dyDescent="0.35">
      <c r="B9617"/>
    </row>
    <row r="9618" spans="2:2" x14ac:dyDescent="0.35">
      <c r="B9618"/>
    </row>
    <row r="9619" spans="2:2" x14ac:dyDescent="0.35">
      <c r="B9619"/>
    </row>
    <row r="9620" spans="2:2" x14ac:dyDescent="0.35">
      <c r="B9620"/>
    </row>
    <row r="9621" spans="2:2" x14ac:dyDescent="0.35">
      <c r="B9621"/>
    </row>
    <row r="9622" spans="2:2" x14ac:dyDescent="0.35">
      <c r="B9622"/>
    </row>
    <row r="9623" spans="2:2" x14ac:dyDescent="0.35">
      <c r="B9623"/>
    </row>
    <row r="9624" spans="2:2" x14ac:dyDescent="0.35">
      <c r="B9624"/>
    </row>
    <row r="9625" spans="2:2" x14ac:dyDescent="0.35">
      <c r="B9625"/>
    </row>
    <row r="9626" spans="2:2" x14ac:dyDescent="0.35">
      <c r="B9626"/>
    </row>
    <row r="9627" spans="2:2" x14ac:dyDescent="0.35">
      <c r="B9627"/>
    </row>
    <row r="9628" spans="2:2" x14ac:dyDescent="0.35">
      <c r="B9628"/>
    </row>
    <row r="9629" spans="2:2" x14ac:dyDescent="0.35">
      <c r="B9629"/>
    </row>
    <row r="9630" spans="2:2" x14ac:dyDescent="0.35">
      <c r="B9630"/>
    </row>
    <row r="9631" spans="2:2" x14ac:dyDescent="0.35">
      <c r="B9631"/>
    </row>
    <row r="9632" spans="2:2" x14ac:dyDescent="0.35">
      <c r="B9632"/>
    </row>
    <row r="9633" spans="1:2" ht="15.5" x14ac:dyDescent="0.35">
      <c r="A9633" s="49"/>
      <c r="B9633" s="49"/>
    </row>
    <row r="9634" spans="1:2" x14ac:dyDescent="0.35">
      <c r="B9634"/>
    </row>
    <row r="9635" spans="1:2" x14ac:dyDescent="0.35">
      <c r="B9635"/>
    </row>
    <row r="9636" spans="1:2" x14ac:dyDescent="0.35">
      <c r="B9636"/>
    </row>
    <row r="9637" spans="1:2" x14ac:dyDescent="0.35">
      <c r="B9637"/>
    </row>
    <row r="9638" spans="1:2" x14ac:dyDescent="0.35">
      <c r="B9638"/>
    </row>
    <row r="9639" spans="1:2" x14ac:dyDescent="0.35">
      <c r="B9639"/>
    </row>
    <row r="9640" spans="1:2" x14ac:dyDescent="0.35">
      <c r="B9640"/>
    </row>
    <row r="9641" spans="1:2" x14ac:dyDescent="0.35">
      <c r="B9641"/>
    </row>
    <row r="9642" spans="1:2" x14ac:dyDescent="0.35">
      <c r="B9642"/>
    </row>
    <row r="9643" spans="1:2" ht="15.5" x14ac:dyDescent="0.35">
      <c r="A9643" s="49"/>
      <c r="B9643"/>
    </row>
    <row r="9644" spans="1:2" x14ac:dyDescent="0.35">
      <c r="B9644"/>
    </row>
    <row r="9645" spans="1:2" x14ac:dyDescent="0.35">
      <c r="B9645"/>
    </row>
    <row r="9646" spans="1:2" x14ac:dyDescent="0.35">
      <c r="B9646"/>
    </row>
    <row r="9647" spans="1:2" x14ac:dyDescent="0.35">
      <c r="B9647"/>
    </row>
    <row r="9648" spans="1:2" x14ac:dyDescent="0.35">
      <c r="B9648"/>
    </row>
    <row r="9649" spans="2:2" x14ac:dyDescent="0.35">
      <c r="B9649"/>
    </row>
    <row r="9650" spans="2:2" x14ac:dyDescent="0.35">
      <c r="B9650"/>
    </row>
    <row r="9651" spans="2:2" x14ac:dyDescent="0.35">
      <c r="B9651"/>
    </row>
    <row r="9652" spans="2:2" x14ac:dyDescent="0.35">
      <c r="B9652"/>
    </row>
    <row r="9653" spans="2:2" x14ac:dyDescent="0.35">
      <c r="B9653"/>
    </row>
    <row r="9654" spans="2:2" x14ac:dyDescent="0.35">
      <c r="B9654"/>
    </row>
    <row r="9655" spans="2:2" x14ac:dyDescent="0.35">
      <c r="B9655"/>
    </row>
    <row r="9656" spans="2:2" x14ac:dyDescent="0.35">
      <c r="B9656"/>
    </row>
    <row r="9657" spans="2:2" x14ac:dyDescent="0.35">
      <c r="B9657"/>
    </row>
    <row r="9658" spans="2:2" x14ac:dyDescent="0.35">
      <c r="B9658"/>
    </row>
    <row r="9659" spans="2:2" x14ac:dyDescent="0.35">
      <c r="B9659"/>
    </row>
    <row r="9660" spans="2:2" x14ac:dyDescent="0.35">
      <c r="B9660"/>
    </row>
    <row r="9661" spans="2:2" x14ac:dyDescent="0.35">
      <c r="B9661"/>
    </row>
    <row r="9662" spans="2:2" x14ac:dyDescent="0.35">
      <c r="B9662"/>
    </row>
    <row r="9663" spans="2:2" x14ac:dyDescent="0.35">
      <c r="B9663"/>
    </row>
    <row r="9664" spans="2:2" x14ac:dyDescent="0.35">
      <c r="B9664"/>
    </row>
    <row r="9665" spans="1:2" x14ac:dyDescent="0.35">
      <c r="B9665"/>
    </row>
    <row r="9666" spans="1:2" x14ac:dyDescent="0.35">
      <c r="B9666"/>
    </row>
    <row r="9667" spans="1:2" ht="15.5" x14ac:dyDescent="0.35">
      <c r="A9667" s="49"/>
      <c r="B9667" s="49"/>
    </row>
    <row r="9668" spans="1:2" x14ac:dyDescent="0.35">
      <c r="B9668"/>
    </row>
    <row r="9669" spans="1:2" x14ac:dyDescent="0.35">
      <c r="B9669"/>
    </row>
    <row r="9670" spans="1:2" x14ac:dyDescent="0.35">
      <c r="B9670"/>
    </row>
    <row r="9671" spans="1:2" x14ac:dyDescent="0.35">
      <c r="B9671"/>
    </row>
    <row r="9672" spans="1:2" x14ac:dyDescent="0.35">
      <c r="B9672"/>
    </row>
    <row r="9673" spans="1:2" x14ac:dyDescent="0.35">
      <c r="B9673"/>
    </row>
    <row r="9674" spans="1:2" x14ac:dyDescent="0.35">
      <c r="B9674"/>
    </row>
    <row r="9675" spans="1:2" x14ac:dyDescent="0.35">
      <c r="B9675"/>
    </row>
    <row r="9676" spans="1:2" x14ac:dyDescent="0.35">
      <c r="B9676"/>
    </row>
    <row r="9677" spans="1:2" ht="15.5" x14ac:dyDescent="0.35">
      <c r="A9677" s="49"/>
      <c r="B9677"/>
    </row>
    <row r="9678" spans="1:2" x14ac:dyDescent="0.35">
      <c r="B9678"/>
    </row>
    <row r="9679" spans="1:2" x14ac:dyDescent="0.35">
      <c r="B9679"/>
    </row>
    <row r="9680" spans="1:2" x14ac:dyDescent="0.35">
      <c r="B9680"/>
    </row>
    <row r="9681" spans="2:2" x14ac:dyDescent="0.35">
      <c r="B9681"/>
    </row>
    <row r="9682" spans="2:2" x14ac:dyDescent="0.35">
      <c r="B9682"/>
    </row>
    <row r="9683" spans="2:2" x14ac:dyDescent="0.35">
      <c r="B9683"/>
    </row>
    <row r="9684" spans="2:2" x14ac:dyDescent="0.35">
      <c r="B9684"/>
    </row>
    <row r="9685" spans="2:2" x14ac:dyDescent="0.35">
      <c r="B9685"/>
    </row>
    <row r="9686" spans="2:2" x14ac:dyDescent="0.35">
      <c r="B9686"/>
    </row>
    <row r="9687" spans="2:2" x14ac:dyDescent="0.35">
      <c r="B9687"/>
    </row>
    <row r="9688" spans="2:2" x14ac:dyDescent="0.35">
      <c r="B9688"/>
    </row>
    <row r="9689" spans="2:2" x14ac:dyDescent="0.35">
      <c r="B9689"/>
    </row>
    <row r="9690" spans="2:2" x14ac:dyDescent="0.35">
      <c r="B9690"/>
    </row>
    <row r="9691" spans="2:2" x14ac:dyDescent="0.35">
      <c r="B9691"/>
    </row>
    <row r="9692" spans="2:2" x14ac:dyDescent="0.35">
      <c r="B9692"/>
    </row>
    <row r="9693" spans="2:2" x14ac:dyDescent="0.35">
      <c r="B9693"/>
    </row>
    <row r="9694" spans="2:2" x14ac:dyDescent="0.35">
      <c r="B9694"/>
    </row>
    <row r="9695" spans="2:2" x14ac:dyDescent="0.35">
      <c r="B9695"/>
    </row>
    <row r="9696" spans="2:2" x14ac:dyDescent="0.35">
      <c r="B9696"/>
    </row>
    <row r="9697" spans="1:2" x14ac:dyDescent="0.35">
      <c r="B9697"/>
    </row>
    <row r="9698" spans="1:2" x14ac:dyDescent="0.35">
      <c r="B9698"/>
    </row>
    <row r="9699" spans="1:2" x14ac:dyDescent="0.35">
      <c r="B9699"/>
    </row>
    <row r="9700" spans="1:2" x14ac:dyDescent="0.35">
      <c r="B9700"/>
    </row>
    <row r="9701" spans="1:2" ht="15.5" x14ac:dyDescent="0.35">
      <c r="A9701" s="49"/>
      <c r="B9701" s="49"/>
    </row>
    <row r="9702" spans="1:2" x14ac:dyDescent="0.35">
      <c r="B9702"/>
    </row>
    <row r="9703" spans="1:2" x14ac:dyDescent="0.35">
      <c r="B9703"/>
    </row>
    <row r="9704" spans="1:2" x14ac:dyDescent="0.35">
      <c r="B9704"/>
    </row>
    <row r="9705" spans="1:2" x14ac:dyDescent="0.35">
      <c r="B9705"/>
    </row>
    <row r="9706" spans="1:2" x14ac:dyDescent="0.35">
      <c r="B9706"/>
    </row>
    <row r="9707" spans="1:2" x14ac:dyDescent="0.35">
      <c r="B9707"/>
    </row>
    <row r="9708" spans="1:2" x14ac:dyDescent="0.35">
      <c r="B9708"/>
    </row>
    <row r="9709" spans="1:2" x14ac:dyDescent="0.35">
      <c r="B9709"/>
    </row>
    <row r="9710" spans="1:2" x14ac:dyDescent="0.35">
      <c r="B9710"/>
    </row>
    <row r="9711" spans="1:2" ht="15.5" x14ac:dyDescent="0.35">
      <c r="A9711" s="49"/>
      <c r="B9711"/>
    </row>
    <row r="9712" spans="1:2" x14ac:dyDescent="0.35">
      <c r="B9712"/>
    </row>
    <row r="9713" spans="2:2" x14ac:dyDescent="0.35">
      <c r="B9713"/>
    </row>
    <row r="9714" spans="2:2" x14ac:dyDescent="0.35">
      <c r="B9714"/>
    </row>
    <row r="9715" spans="2:2" x14ac:dyDescent="0.35">
      <c r="B9715"/>
    </row>
    <row r="9716" spans="2:2" x14ac:dyDescent="0.35">
      <c r="B9716"/>
    </row>
    <row r="9717" spans="2:2" x14ac:dyDescent="0.35">
      <c r="B9717"/>
    </row>
    <row r="9718" spans="2:2" x14ac:dyDescent="0.35">
      <c r="B9718"/>
    </row>
    <row r="9719" spans="2:2" x14ac:dyDescent="0.35">
      <c r="B9719"/>
    </row>
    <row r="9720" spans="2:2" x14ac:dyDescent="0.35">
      <c r="B9720"/>
    </row>
    <row r="9721" spans="2:2" x14ac:dyDescent="0.35">
      <c r="B9721"/>
    </row>
    <row r="9722" spans="2:2" x14ac:dyDescent="0.35">
      <c r="B9722"/>
    </row>
    <row r="9723" spans="2:2" x14ac:dyDescent="0.35">
      <c r="B9723"/>
    </row>
    <row r="9724" spans="2:2" x14ac:dyDescent="0.35">
      <c r="B9724"/>
    </row>
    <row r="9725" spans="2:2" x14ac:dyDescent="0.35">
      <c r="B9725"/>
    </row>
    <row r="9726" spans="2:2" x14ac:dyDescent="0.35">
      <c r="B9726"/>
    </row>
    <row r="9727" spans="2:2" x14ac:dyDescent="0.35">
      <c r="B9727"/>
    </row>
    <row r="9728" spans="2:2" x14ac:dyDescent="0.35">
      <c r="B9728"/>
    </row>
    <row r="9729" spans="1:2" x14ac:dyDescent="0.35">
      <c r="B9729"/>
    </row>
    <row r="9730" spans="1:2" x14ac:dyDescent="0.35">
      <c r="B9730"/>
    </row>
    <row r="9731" spans="1:2" x14ac:dyDescent="0.35">
      <c r="B9731"/>
    </row>
    <row r="9732" spans="1:2" x14ac:dyDescent="0.35">
      <c r="B9732"/>
    </row>
    <row r="9733" spans="1:2" x14ac:dyDescent="0.35">
      <c r="B9733"/>
    </row>
    <row r="9734" spans="1:2" x14ac:dyDescent="0.35">
      <c r="B9734"/>
    </row>
    <row r="9735" spans="1:2" ht="15.5" x14ac:dyDescent="0.35">
      <c r="A9735" s="49"/>
      <c r="B9735" s="49"/>
    </row>
    <row r="9736" spans="1:2" x14ac:dyDescent="0.35">
      <c r="B9736"/>
    </row>
    <row r="9737" spans="1:2" x14ac:dyDescent="0.35">
      <c r="B9737"/>
    </row>
    <row r="9738" spans="1:2" x14ac:dyDescent="0.35">
      <c r="B9738"/>
    </row>
    <row r="9739" spans="1:2" x14ac:dyDescent="0.35">
      <c r="B9739"/>
    </row>
    <row r="9740" spans="1:2" x14ac:dyDescent="0.35">
      <c r="B9740"/>
    </row>
    <row r="9741" spans="1:2" x14ac:dyDescent="0.35">
      <c r="B9741"/>
    </row>
    <row r="9742" spans="1:2" x14ac:dyDescent="0.35">
      <c r="B9742"/>
    </row>
    <row r="9743" spans="1:2" x14ac:dyDescent="0.35">
      <c r="B9743"/>
    </row>
    <row r="9744" spans="1:2" x14ac:dyDescent="0.35">
      <c r="B9744"/>
    </row>
    <row r="9745" spans="1:2" ht="15.5" x14ac:dyDescent="0.35">
      <c r="A9745" s="49"/>
      <c r="B9745"/>
    </row>
    <row r="9746" spans="1:2" x14ac:dyDescent="0.35">
      <c r="B9746"/>
    </row>
    <row r="9747" spans="1:2" x14ac:dyDescent="0.35">
      <c r="B9747"/>
    </row>
    <row r="9748" spans="1:2" x14ac:dyDescent="0.35">
      <c r="B9748"/>
    </row>
    <row r="9749" spans="1:2" x14ac:dyDescent="0.35">
      <c r="B9749"/>
    </row>
    <row r="9750" spans="1:2" x14ac:dyDescent="0.35">
      <c r="B9750"/>
    </row>
    <row r="9751" spans="1:2" x14ac:dyDescent="0.35">
      <c r="B9751"/>
    </row>
    <row r="9752" spans="1:2" x14ac:dyDescent="0.35">
      <c r="B9752"/>
    </row>
    <row r="9753" spans="1:2" x14ac:dyDescent="0.35">
      <c r="B9753"/>
    </row>
    <row r="9754" spans="1:2" x14ac:dyDescent="0.35">
      <c r="B9754"/>
    </row>
    <row r="9755" spans="1:2" x14ac:dyDescent="0.35">
      <c r="B9755"/>
    </row>
    <row r="9756" spans="1:2" x14ac:dyDescent="0.35">
      <c r="B9756"/>
    </row>
    <row r="9757" spans="1:2" x14ac:dyDescent="0.35">
      <c r="B9757"/>
    </row>
    <row r="9758" spans="1:2" x14ac:dyDescent="0.35">
      <c r="B9758"/>
    </row>
    <row r="9759" spans="1:2" x14ac:dyDescent="0.35">
      <c r="B9759"/>
    </row>
    <row r="9760" spans="1:2" x14ac:dyDescent="0.35">
      <c r="B9760"/>
    </row>
    <row r="9761" spans="1:2" x14ac:dyDescent="0.35">
      <c r="B9761"/>
    </row>
    <row r="9762" spans="1:2" x14ac:dyDescent="0.35">
      <c r="B9762"/>
    </row>
    <row r="9763" spans="1:2" x14ac:dyDescent="0.35">
      <c r="B9763"/>
    </row>
    <row r="9764" spans="1:2" x14ac:dyDescent="0.35">
      <c r="B9764"/>
    </row>
    <row r="9765" spans="1:2" x14ac:dyDescent="0.35">
      <c r="B9765"/>
    </row>
    <row r="9766" spans="1:2" x14ac:dyDescent="0.35">
      <c r="B9766"/>
    </row>
    <row r="9767" spans="1:2" x14ac:dyDescent="0.35">
      <c r="B9767"/>
    </row>
    <row r="9768" spans="1:2" x14ac:dyDescent="0.35">
      <c r="B9768"/>
    </row>
    <row r="9769" spans="1:2" ht="15.5" x14ac:dyDescent="0.35">
      <c r="A9769" s="49"/>
      <c r="B9769" s="49"/>
    </row>
    <row r="9770" spans="1:2" x14ac:dyDescent="0.35">
      <c r="B9770"/>
    </row>
    <row r="9771" spans="1:2" x14ac:dyDescent="0.35">
      <c r="B9771"/>
    </row>
    <row r="9772" spans="1:2" x14ac:dyDescent="0.35">
      <c r="B9772"/>
    </row>
    <row r="9773" spans="1:2" x14ac:dyDescent="0.35">
      <c r="B9773"/>
    </row>
    <row r="9774" spans="1:2" x14ac:dyDescent="0.35">
      <c r="B9774"/>
    </row>
    <row r="9775" spans="1:2" x14ac:dyDescent="0.35">
      <c r="B9775"/>
    </row>
    <row r="9776" spans="1:2" x14ac:dyDescent="0.35">
      <c r="B9776"/>
    </row>
    <row r="9777" spans="1:2" x14ac:dyDescent="0.35">
      <c r="B9777"/>
    </row>
    <row r="9778" spans="1:2" x14ac:dyDescent="0.35">
      <c r="B9778"/>
    </row>
    <row r="9779" spans="1:2" ht="15.5" x14ac:dyDescent="0.35">
      <c r="A9779" s="49"/>
      <c r="B9779"/>
    </row>
    <row r="9780" spans="1:2" x14ac:dyDescent="0.35">
      <c r="B9780"/>
    </row>
    <row r="9781" spans="1:2" x14ac:dyDescent="0.35">
      <c r="B9781"/>
    </row>
    <row r="9782" spans="1:2" x14ac:dyDescent="0.35">
      <c r="B9782"/>
    </row>
    <row r="9783" spans="1:2" x14ac:dyDescent="0.35">
      <c r="B9783"/>
    </row>
    <row r="9784" spans="1:2" x14ac:dyDescent="0.35">
      <c r="B9784"/>
    </row>
    <row r="9785" spans="1:2" x14ac:dyDescent="0.35">
      <c r="B9785"/>
    </row>
    <row r="9786" spans="1:2" x14ac:dyDescent="0.35">
      <c r="B9786"/>
    </row>
    <row r="9787" spans="1:2" x14ac:dyDescent="0.35">
      <c r="B9787"/>
    </row>
    <row r="9788" spans="1:2" x14ac:dyDescent="0.35">
      <c r="B9788"/>
    </row>
    <row r="9789" spans="1:2" x14ac:dyDescent="0.35">
      <c r="B9789"/>
    </row>
    <row r="9790" spans="1:2" x14ac:dyDescent="0.35">
      <c r="B9790"/>
    </row>
    <row r="9791" spans="1:2" x14ac:dyDescent="0.35">
      <c r="B9791"/>
    </row>
    <row r="9792" spans="1:2" x14ac:dyDescent="0.35">
      <c r="B9792"/>
    </row>
    <row r="9793" spans="1:2" x14ac:dyDescent="0.35">
      <c r="B9793"/>
    </row>
    <row r="9794" spans="1:2" x14ac:dyDescent="0.35">
      <c r="B9794"/>
    </row>
    <row r="9795" spans="1:2" x14ac:dyDescent="0.35">
      <c r="B9795"/>
    </row>
    <row r="9796" spans="1:2" x14ac:dyDescent="0.35">
      <c r="B9796"/>
    </row>
    <row r="9797" spans="1:2" x14ac:dyDescent="0.35">
      <c r="B9797"/>
    </row>
    <row r="9798" spans="1:2" x14ac:dyDescent="0.35">
      <c r="B9798"/>
    </row>
    <row r="9799" spans="1:2" x14ac:dyDescent="0.35">
      <c r="B9799"/>
    </row>
    <row r="9800" spans="1:2" x14ac:dyDescent="0.35">
      <c r="B9800"/>
    </row>
    <row r="9801" spans="1:2" x14ac:dyDescent="0.35">
      <c r="B9801"/>
    </row>
    <row r="9802" spans="1:2" x14ac:dyDescent="0.35">
      <c r="B9802"/>
    </row>
    <row r="9803" spans="1:2" ht="15.5" x14ac:dyDescent="0.35">
      <c r="A9803" s="49"/>
      <c r="B9803" s="49"/>
    </row>
    <row r="9804" spans="1:2" x14ac:dyDescent="0.35">
      <c r="B9804"/>
    </row>
    <row r="9805" spans="1:2" x14ac:dyDescent="0.35">
      <c r="B9805"/>
    </row>
    <row r="9806" spans="1:2" x14ac:dyDescent="0.35">
      <c r="B9806"/>
    </row>
    <row r="9807" spans="1:2" x14ac:dyDescent="0.35">
      <c r="B9807"/>
    </row>
    <row r="9808" spans="1:2" x14ac:dyDescent="0.35">
      <c r="B9808"/>
    </row>
    <row r="9809" spans="1:2" x14ac:dyDescent="0.35">
      <c r="B9809"/>
    </row>
    <row r="9810" spans="1:2" x14ac:dyDescent="0.35">
      <c r="B9810"/>
    </row>
    <row r="9811" spans="1:2" x14ac:dyDescent="0.35">
      <c r="B9811"/>
    </row>
    <row r="9812" spans="1:2" x14ac:dyDescent="0.35">
      <c r="B9812"/>
    </row>
    <row r="9813" spans="1:2" ht="15.5" x14ac:dyDescent="0.35">
      <c r="A9813" s="49"/>
      <c r="B9813"/>
    </row>
    <row r="9814" spans="1:2" x14ac:dyDescent="0.35">
      <c r="B9814"/>
    </row>
    <row r="9815" spans="1:2" x14ac:dyDescent="0.35">
      <c r="B9815"/>
    </row>
    <row r="9816" spans="1:2" x14ac:dyDescent="0.35">
      <c r="B9816"/>
    </row>
    <row r="9817" spans="1:2" x14ac:dyDescent="0.35">
      <c r="B9817"/>
    </row>
    <row r="9818" spans="1:2" x14ac:dyDescent="0.35">
      <c r="B9818"/>
    </row>
    <row r="9819" spans="1:2" x14ac:dyDescent="0.35">
      <c r="B9819"/>
    </row>
    <row r="9820" spans="1:2" x14ac:dyDescent="0.35">
      <c r="B9820"/>
    </row>
    <row r="9821" spans="1:2" x14ac:dyDescent="0.35">
      <c r="B9821"/>
    </row>
    <row r="9822" spans="1:2" x14ac:dyDescent="0.35">
      <c r="B9822"/>
    </row>
    <row r="9823" spans="1:2" x14ac:dyDescent="0.35">
      <c r="B9823"/>
    </row>
    <row r="9824" spans="1:2" x14ac:dyDescent="0.35">
      <c r="B9824"/>
    </row>
    <row r="9825" spans="1:2" x14ac:dyDescent="0.35">
      <c r="B9825"/>
    </row>
    <row r="9826" spans="1:2" x14ac:dyDescent="0.35">
      <c r="B9826"/>
    </row>
    <row r="9827" spans="1:2" x14ac:dyDescent="0.35">
      <c r="B9827"/>
    </row>
    <row r="9828" spans="1:2" x14ac:dyDescent="0.35">
      <c r="B9828"/>
    </row>
    <row r="9829" spans="1:2" x14ac:dyDescent="0.35">
      <c r="B9829"/>
    </row>
    <row r="9830" spans="1:2" x14ac:dyDescent="0.35">
      <c r="B9830"/>
    </row>
    <row r="9831" spans="1:2" x14ac:dyDescent="0.35">
      <c r="B9831"/>
    </row>
    <row r="9832" spans="1:2" x14ac:dyDescent="0.35">
      <c r="B9832"/>
    </row>
    <row r="9833" spans="1:2" x14ac:dyDescent="0.35">
      <c r="B9833"/>
    </row>
    <row r="9834" spans="1:2" x14ac:dyDescent="0.35">
      <c r="B9834"/>
    </row>
    <row r="9835" spans="1:2" x14ac:dyDescent="0.35">
      <c r="B9835"/>
    </row>
    <row r="9836" spans="1:2" x14ac:dyDescent="0.35">
      <c r="B9836"/>
    </row>
    <row r="9837" spans="1:2" ht="15.5" x14ac:dyDescent="0.35">
      <c r="A9837" s="49"/>
      <c r="B9837" s="49"/>
    </row>
    <row r="9838" spans="1:2" x14ac:dyDescent="0.35">
      <c r="B9838"/>
    </row>
    <row r="9839" spans="1:2" x14ac:dyDescent="0.35">
      <c r="B9839"/>
    </row>
    <row r="9840" spans="1:2" x14ac:dyDescent="0.35">
      <c r="B9840"/>
    </row>
    <row r="9841" spans="1:2" x14ac:dyDescent="0.35">
      <c r="B9841"/>
    </row>
    <row r="9842" spans="1:2" x14ac:dyDescent="0.35">
      <c r="B9842"/>
    </row>
    <row r="9843" spans="1:2" x14ac:dyDescent="0.35">
      <c r="B9843"/>
    </row>
    <row r="9844" spans="1:2" x14ac:dyDescent="0.35">
      <c r="B9844"/>
    </row>
    <row r="9845" spans="1:2" x14ac:dyDescent="0.35">
      <c r="B9845"/>
    </row>
    <row r="9846" spans="1:2" x14ac:dyDescent="0.35">
      <c r="B9846"/>
    </row>
    <row r="9847" spans="1:2" ht="15.5" x14ac:dyDescent="0.35">
      <c r="A9847" s="49"/>
      <c r="B9847"/>
    </row>
    <row r="9848" spans="1:2" x14ac:dyDescent="0.35">
      <c r="B9848"/>
    </row>
    <row r="9849" spans="1:2" x14ac:dyDescent="0.35">
      <c r="B9849"/>
    </row>
    <row r="9850" spans="1:2" x14ac:dyDescent="0.35">
      <c r="B9850"/>
    </row>
    <row r="9851" spans="1:2" x14ac:dyDescent="0.35">
      <c r="B9851"/>
    </row>
    <row r="9852" spans="1:2" x14ac:dyDescent="0.35">
      <c r="B9852"/>
    </row>
    <row r="9853" spans="1:2" x14ac:dyDescent="0.35">
      <c r="B9853"/>
    </row>
    <row r="9854" spans="1:2" x14ac:dyDescent="0.35">
      <c r="B9854"/>
    </row>
    <row r="9855" spans="1:2" x14ac:dyDescent="0.35">
      <c r="B9855"/>
    </row>
    <row r="9856" spans="1:2" x14ac:dyDescent="0.35">
      <c r="B9856"/>
    </row>
    <row r="9857" spans="1:2" x14ac:dyDescent="0.35">
      <c r="B9857"/>
    </row>
    <row r="9858" spans="1:2" x14ac:dyDescent="0.35">
      <c r="B9858"/>
    </row>
    <row r="9859" spans="1:2" x14ac:dyDescent="0.35">
      <c r="B9859"/>
    </row>
    <row r="9860" spans="1:2" x14ac:dyDescent="0.35">
      <c r="B9860"/>
    </row>
    <row r="9861" spans="1:2" x14ac:dyDescent="0.35">
      <c r="B9861"/>
    </row>
    <row r="9862" spans="1:2" x14ac:dyDescent="0.35">
      <c r="B9862"/>
    </row>
    <row r="9863" spans="1:2" x14ac:dyDescent="0.35">
      <c r="B9863"/>
    </row>
    <row r="9864" spans="1:2" x14ac:dyDescent="0.35">
      <c r="B9864"/>
    </row>
    <row r="9865" spans="1:2" x14ac:dyDescent="0.35">
      <c r="B9865"/>
    </row>
    <row r="9866" spans="1:2" x14ac:dyDescent="0.35">
      <c r="B9866"/>
    </row>
    <row r="9867" spans="1:2" x14ac:dyDescent="0.35">
      <c r="B9867"/>
    </row>
    <row r="9868" spans="1:2" x14ac:dyDescent="0.35">
      <c r="B9868"/>
    </row>
    <row r="9869" spans="1:2" x14ac:dyDescent="0.35">
      <c r="B9869"/>
    </row>
    <row r="9870" spans="1:2" x14ac:dyDescent="0.35">
      <c r="B9870"/>
    </row>
    <row r="9871" spans="1:2" ht="15.5" x14ac:dyDescent="0.35">
      <c r="A9871" s="49"/>
      <c r="B9871" s="49"/>
    </row>
    <row r="9872" spans="1:2" x14ac:dyDescent="0.35">
      <c r="B9872"/>
    </row>
    <row r="9873" spans="1:2" x14ac:dyDescent="0.35">
      <c r="B9873"/>
    </row>
    <row r="9874" spans="1:2" x14ac:dyDescent="0.35">
      <c r="B9874"/>
    </row>
    <row r="9875" spans="1:2" x14ac:dyDescent="0.35">
      <c r="B9875"/>
    </row>
    <row r="9876" spans="1:2" x14ac:dyDescent="0.35">
      <c r="B9876"/>
    </row>
    <row r="9877" spans="1:2" x14ac:dyDescent="0.35">
      <c r="B9877"/>
    </row>
    <row r="9878" spans="1:2" x14ac:dyDescent="0.35">
      <c r="B9878"/>
    </row>
    <row r="9879" spans="1:2" x14ac:dyDescent="0.35">
      <c r="B9879"/>
    </row>
    <row r="9880" spans="1:2" x14ac:dyDescent="0.35">
      <c r="B9880"/>
    </row>
    <row r="9881" spans="1:2" ht="15.5" x14ac:dyDescent="0.35">
      <c r="A9881" s="49"/>
      <c r="B9881"/>
    </row>
    <row r="9882" spans="1:2" x14ac:dyDescent="0.35">
      <c r="B9882"/>
    </row>
    <row r="9883" spans="1:2" x14ac:dyDescent="0.35">
      <c r="B9883"/>
    </row>
    <row r="9884" spans="1:2" x14ac:dyDescent="0.35">
      <c r="B9884"/>
    </row>
    <row r="9885" spans="1:2" x14ac:dyDescent="0.35">
      <c r="B9885"/>
    </row>
    <row r="9886" spans="1:2" x14ac:dyDescent="0.35">
      <c r="B9886"/>
    </row>
    <row r="9887" spans="1:2" x14ac:dyDescent="0.35">
      <c r="B9887"/>
    </row>
    <row r="9888" spans="1:2" x14ac:dyDescent="0.35">
      <c r="B9888"/>
    </row>
    <row r="9889" spans="2:2" x14ac:dyDescent="0.35">
      <c r="B9889"/>
    </row>
    <row r="9890" spans="2:2" x14ac:dyDescent="0.35">
      <c r="B9890"/>
    </row>
    <row r="9891" spans="2:2" x14ac:dyDescent="0.35">
      <c r="B9891"/>
    </row>
    <row r="9892" spans="2:2" x14ac:dyDescent="0.35">
      <c r="B9892"/>
    </row>
    <row r="9893" spans="2:2" x14ac:dyDescent="0.35">
      <c r="B9893"/>
    </row>
    <row r="9894" spans="2:2" x14ac:dyDescent="0.35">
      <c r="B9894"/>
    </row>
    <row r="9895" spans="2:2" x14ac:dyDescent="0.35">
      <c r="B9895"/>
    </row>
    <row r="9896" spans="2:2" x14ac:dyDescent="0.35">
      <c r="B9896"/>
    </row>
    <row r="9897" spans="2:2" x14ac:dyDescent="0.35">
      <c r="B9897"/>
    </row>
    <row r="9898" spans="2:2" x14ac:dyDescent="0.35">
      <c r="B9898"/>
    </row>
    <row r="9899" spans="2:2" x14ac:dyDescent="0.35">
      <c r="B9899"/>
    </row>
    <row r="9900" spans="2:2" x14ac:dyDescent="0.35">
      <c r="B9900"/>
    </row>
    <row r="9901" spans="2:2" x14ac:dyDescent="0.35">
      <c r="B9901"/>
    </row>
    <row r="9902" spans="2:2" x14ac:dyDescent="0.35">
      <c r="B9902"/>
    </row>
    <row r="9903" spans="2:2" x14ac:dyDescent="0.35">
      <c r="B9903"/>
    </row>
    <row r="9904" spans="2:2" x14ac:dyDescent="0.35">
      <c r="B9904"/>
    </row>
    <row r="9905" spans="1:2" ht="15.5" x14ac:dyDescent="0.35">
      <c r="A9905" s="49"/>
      <c r="B9905" s="49"/>
    </row>
    <row r="9906" spans="1:2" x14ac:dyDescent="0.35">
      <c r="B9906"/>
    </row>
    <row r="9907" spans="1:2" x14ac:dyDescent="0.35">
      <c r="B9907"/>
    </row>
    <row r="9908" spans="1:2" x14ac:dyDescent="0.35">
      <c r="B9908"/>
    </row>
    <row r="9909" spans="1:2" x14ac:dyDescent="0.35">
      <c r="B9909"/>
    </row>
    <row r="9910" spans="1:2" x14ac:dyDescent="0.35">
      <c r="B9910"/>
    </row>
    <row r="9911" spans="1:2" x14ac:dyDescent="0.35">
      <c r="B9911"/>
    </row>
    <row r="9912" spans="1:2" x14ac:dyDescent="0.35">
      <c r="B9912"/>
    </row>
    <row r="9913" spans="1:2" x14ac:dyDescent="0.35">
      <c r="B9913"/>
    </row>
    <row r="9914" spans="1:2" x14ac:dyDescent="0.35">
      <c r="B9914"/>
    </row>
    <row r="9915" spans="1:2" ht="15.5" x14ac:dyDescent="0.35">
      <c r="A9915" s="49"/>
      <c r="B9915"/>
    </row>
    <row r="9916" spans="1:2" x14ac:dyDescent="0.35">
      <c r="B9916"/>
    </row>
    <row r="9917" spans="1:2" x14ac:dyDescent="0.35">
      <c r="B9917"/>
    </row>
    <row r="9918" spans="1:2" x14ac:dyDescent="0.35">
      <c r="B9918"/>
    </row>
    <row r="9919" spans="1:2" x14ac:dyDescent="0.35">
      <c r="B9919"/>
    </row>
    <row r="9920" spans="1:2" x14ac:dyDescent="0.35">
      <c r="B9920"/>
    </row>
    <row r="9921" spans="2:2" x14ac:dyDescent="0.35">
      <c r="B9921"/>
    </row>
    <row r="9922" spans="2:2" x14ac:dyDescent="0.35">
      <c r="B9922"/>
    </row>
    <row r="9923" spans="2:2" x14ac:dyDescent="0.35">
      <c r="B9923"/>
    </row>
    <row r="9924" spans="2:2" x14ac:dyDescent="0.35">
      <c r="B9924"/>
    </row>
    <row r="9925" spans="2:2" x14ac:dyDescent="0.35">
      <c r="B9925"/>
    </row>
    <row r="9926" spans="2:2" x14ac:dyDescent="0.35">
      <c r="B9926"/>
    </row>
    <row r="9927" spans="2:2" x14ac:dyDescent="0.35">
      <c r="B9927"/>
    </row>
    <row r="9928" spans="2:2" x14ac:dyDescent="0.35">
      <c r="B9928"/>
    </row>
    <row r="9929" spans="2:2" x14ac:dyDescent="0.35">
      <c r="B9929"/>
    </row>
    <row r="9930" spans="2:2" x14ac:dyDescent="0.35">
      <c r="B9930"/>
    </row>
    <row r="9931" spans="2:2" x14ac:dyDescent="0.35">
      <c r="B9931"/>
    </row>
    <row r="9932" spans="2:2" x14ac:dyDescent="0.35">
      <c r="B9932"/>
    </row>
    <row r="9933" spans="2:2" x14ac:dyDescent="0.35">
      <c r="B9933"/>
    </row>
    <row r="9934" spans="2:2" x14ac:dyDescent="0.35">
      <c r="B9934"/>
    </row>
    <row r="9935" spans="2:2" x14ac:dyDescent="0.35">
      <c r="B9935"/>
    </row>
    <row r="9936" spans="2:2" x14ac:dyDescent="0.35">
      <c r="B9936"/>
    </row>
    <row r="9937" spans="1:2" x14ac:dyDescent="0.35">
      <c r="B9937"/>
    </row>
    <row r="9938" spans="1:2" x14ac:dyDescent="0.35">
      <c r="B9938"/>
    </row>
    <row r="9939" spans="1:2" ht="15.5" x14ac:dyDescent="0.35">
      <c r="A9939" s="49"/>
      <c r="B9939" s="49"/>
    </row>
    <row r="9940" spans="1:2" x14ac:dyDescent="0.35">
      <c r="B9940"/>
    </row>
    <row r="9941" spans="1:2" x14ac:dyDescent="0.35">
      <c r="B9941"/>
    </row>
    <row r="9942" spans="1:2" x14ac:dyDescent="0.35">
      <c r="B9942"/>
    </row>
    <row r="9943" spans="1:2" x14ac:dyDescent="0.35">
      <c r="B9943"/>
    </row>
    <row r="9944" spans="1:2" x14ac:dyDescent="0.35">
      <c r="B9944"/>
    </row>
    <row r="9945" spans="1:2" x14ac:dyDescent="0.35">
      <c r="B9945"/>
    </row>
    <row r="9946" spans="1:2" x14ac:dyDescent="0.35">
      <c r="B9946"/>
    </row>
    <row r="9947" spans="1:2" x14ac:dyDescent="0.35">
      <c r="B9947"/>
    </row>
    <row r="9948" spans="1:2" x14ac:dyDescent="0.35">
      <c r="B9948"/>
    </row>
    <row r="9949" spans="1:2" ht="15.5" x14ac:dyDescent="0.35">
      <c r="A9949" s="49"/>
      <c r="B9949"/>
    </row>
    <row r="9950" spans="1:2" x14ac:dyDescent="0.35">
      <c r="B9950"/>
    </row>
    <row r="9951" spans="1:2" x14ac:dyDescent="0.35">
      <c r="B9951"/>
    </row>
    <row r="9952" spans="1:2" x14ac:dyDescent="0.35">
      <c r="B9952"/>
    </row>
    <row r="9953" spans="2:2" x14ac:dyDescent="0.35">
      <c r="B9953"/>
    </row>
    <row r="9954" spans="2:2" x14ac:dyDescent="0.35">
      <c r="B9954"/>
    </row>
    <row r="9955" spans="2:2" x14ac:dyDescent="0.35">
      <c r="B9955"/>
    </row>
    <row r="9956" spans="2:2" x14ac:dyDescent="0.35">
      <c r="B9956"/>
    </row>
    <row r="9957" spans="2:2" x14ac:dyDescent="0.35">
      <c r="B9957"/>
    </row>
    <row r="9958" spans="2:2" x14ac:dyDescent="0.35">
      <c r="B9958"/>
    </row>
    <row r="9959" spans="2:2" x14ac:dyDescent="0.35">
      <c r="B9959"/>
    </row>
    <row r="9960" spans="2:2" x14ac:dyDescent="0.35">
      <c r="B9960"/>
    </row>
    <row r="9961" spans="2:2" x14ac:dyDescent="0.35">
      <c r="B9961"/>
    </row>
    <row r="9962" spans="2:2" x14ac:dyDescent="0.35">
      <c r="B9962"/>
    </row>
    <row r="9963" spans="2:2" x14ac:dyDescent="0.35">
      <c r="B9963"/>
    </row>
    <row r="9964" spans="2:2" x14ac:dyDescent="0.35">
      <c r="B9964"/>
    </row>
    <row r="9965" spans="2:2" x14ac:dyDescent="0.35">
      <c r="B9965"/>
    </row>
    <row r="9966" spans="2:2" x14ac:dyDescent="0.35">
      <c r="B9966"/>
    </row>
    <row r="9967" spans="2:2" x14ac:dyDescent="0.35">
      <c r="B9967"/>
    </row>
    <row r="9968" spans="2:2" x14ac:dyDescent="0.35">
      <c r="B9968"/>
    </row>
    <row r="9969" spans="1:2" x14ac:dyDescent="0.35">
      <c r="B9969"/>
    </row>
    <row r="9970" spans="1:2" x14ac:dyDescent="0.35">
      <c r="B9970"/>
    </row>
    <row r="9971" spans="1:2" x14ac:dyDescent="0.35">
      <c r="B9971"/>
    </row>
    <row r="9972" spans="1:2" x14ac:dyDescent="0.35">
      <c r="B9972"/>
    </row>
    <row r="9973" spans="1:2" ht="15.5" x14ac:dyDescent="0.35">
      <c r="A9973" s="49"/>
      <c r="B9973" s="49"/>
    </row>
    <row r="9974" spans="1:2" x14ac:dyDescent="0.35">
      <c r="B9974"/>
    </row>
    <row r="9975" spans="1:2" x14ac:dyDescent="0.35">
      <c r="B9975"/>
    </row>
    <row r="9976" spans="1:2" x14ac:dyDescent="0.35">
      <c r="B9976"/>
    </row>
    <row r="9977" spans="1:2" x14ac:dyDescent="0.35">
      <c r="B9977"/>
    </row>
    <row r="9978" spans="1:2" x14ac:dyDescent="0.35">
      <c r="B9978"/>
    </row>
    <row r="9979" spans="1:2" x14ac:dyDescent="0.35">
      <c r="B9979"/>
    </row>
    <row r="9980" spans="1:2" x14ac:dyDescent="0.35">
      <c r="B9980"/>
    </row>
    <row r="9981" spans="1:2" x14ac:dyDescent="0.35">
      <c r="B9981"/>
    </row>
    <row r="9982" spans="1:2" x14ac:dyDescent="0.35">
      <c r="B9982"/>
    </row>
    <row r="9983" spans="1:2" ht="15.5" x14ac:dyDescent="0.35">
      <c r="A9983" s="49"/>
      <c r="B9983"/>
    </row>
    <row r="9984" spans="1:2" x14ac:dyDescent="0.35">
      <c r="B9984"/>
    </row>
    <row r="9985" spans="2:2" x14ac:dyDescent="0.35">
      <c r="B9985"/>
    </row>
    <row r="9986" spans="2:2" x14ac:dyDescent="0.35">
      <c r="B9986"/>
    </row>
    <row r="9987" spans="2:2" x14ac:dyDescent="0.35">
      <c r="B9987"/>
    </row>
    <row r="9988" spans="2:2" x14ac:dyDescent="0.35">
      <c r="B9988"/>
    </row>
    <row r="9989" spans="2:2" x14ac:dyDescent="0.35">
      <c r="B9989"/>
    </row>
    <row r="9990" spans="2:2" x14ac:dyDescent="0.35">
      <c r="B9990"/>
    </row>
    <row r="9991" spans="2:2" x14ac:dyDescent="0.35">
      <c r="B9991"/>
    </row>
    <row r="9992" spans="2:2" x14ac:dyDescent="0.35">
      <c r="B9992"/>
    </row>
    <row r="9993" spans="2:2" x14ac:dyDescent="0.35">
      <c r="B9993"/>
    </row>
    <row r="9994" spans="2:2" x14ac:dyDescent="0.35">
      <c r="B9994"/>
    </row>
    <row r="9995" spans="2:2" x14ac:dyDescent="0.35">
      <c r="B9995"/>
    </row>
    <row r="9996" spans="2:2" x14ac:dyDescent="0.35">
      <c r="B9996"/>
    </row>
    <row r="9997" spans="2:2" x14ac:dyDescent="0.35">
      <c r="B9997"/>
    </row>
    <row r="9998" spans="2:2" x14ac:dyDescent="0.35">
      <c r="B9998"/>
    </row>
    <row r="9999" spans="2:2" x14ac:dyDescent="0.35">
      <c r="B9999"/>
    </row>
    <row r="10000" spans="2:2" x14ac:dyDescent="0.35">
      <c r="B10000"/>
    </row>
    <row r="10001" spans="1:2" x14ac:dyDescent="0.35">
      <c r="B10001"/>
    </row>
    <row r="10002" spans="1:2" x14ac:dyDescent="0.35">
      <c r="B10002"/>
    </row>
    <row r="10003" spans="1:2" x14ac:dyDescent="0.35">
      <c r="B10003"/>
    </row>
    <row r="10004" spans="1:2" x14ac:dyDescent="0.35">
      <c r="B10004"/>
    </row>
    <row r="10005" spans="1:2" x14ac:dyDescent="0.35">
      <c r="B10005"/>
    </row>
    <row r="10006" spans="1:2" x14ac:dyDescent="0.35">
      <c r="B10006"/>
    </row>
    <row r="10007" spans="1:2" ht="15.5" x14ac:dyDescent="0.35">
      <c r="A10007" s="49"/>
      <c r="B10007" s="49"/>
    </row>
    <row r="10008" spans="1:2" x14ac:dyDescent="0.35">
      <c r="B10008"/>
    </row>
    <row r="10009" spans="1:2" x14ac:dyDescent="0.35">
      <c r="B10009"/>
    </row>
    <row r="10010" spans="1:2" x14ac:dyDescent="0.35">
      <c r="B10010"/>
    </row>
    <row r="10011" spans="1:2" x14ac:dyDescent="0.35">
      <c r="B10011"/>
    </row>
    <row r="10012" spans="1:2" x14ac:dyDescent="0.35">
      <c r="B10012"/>
    </row>
    <row r="10013" spans="1:2" x14ac:dyDescent="0.35">
      <c r="B10013"/>
    </row>
    <row r="10014" spans="1:2" x14ac:dyDescent="0.35">
      <c r="B10014"/>
    </row>
    <row r="10015" spans="1:2" x14ac:dyDescent="0.35">
      <c r="B10015"/>
    </row>
    <row r="10016" spans="1:2" x14ac:dyDescent="0.35">
      <c r="B10016"/>
    </row>
    <row r="10017" spans="1:2" ht="15.5" x14ac:dyDescent="0.35">
      <c r="A10017" s="49"/>
      <c r="B10017"/>
    </row>
    <row r="10018" spans="1:2" x14ac:dyDescent="0.35">
      <c r="B10018"/>
    </row>
    <row r="10019" spans="1:2" x14ac:dyDescent="0.35">
      <c r="B10019"/>
    </row>
    <row r="10020" spans="1:2" x14ac:dyDescent="0.35">
      <c r="B10020"/>
    </row>
    <row r="10021" spans="1:2" x14ac:dyDescent="0.35">
      <c r="B10021"/>
    </row>
    <row r="10022" spans="1:2" x14ac:dyDescent="0.35">
      <c r="B10022"/>
    </row>
    <row r="10023" spans="1:2" x14ac:dyDescent="0.35">
      <c r="B10023"/>
    </row>
    <row r="10024" spans="1:2" x14ac:dyDescent="0.35">
      <c r="B10024"/>
    </row>
    <row r="10025" spans="1:2" x14ac:dyDescent="0.35">
      <c r="B10025"/>
    </row>
    <row r="10026" spans="1:2" x14ac:dyDescent="0.35">
      <c r="B10026"/>
    </row>
    <row r="10027" spans="1:2" x14ac:dyDescent="0.35">
      <c r="B10027"/>
    </row>
    <row r="10028" spans="1:2" x14ac:dyDescent="0.35">
      <c r="B10028"/>
    </row>
    <row r="10029" spans="1:2" x14ac:dyDescent="0.35">
      <c r="B10029"/>
    </row>
    <row r="10030" spans="1:2" x14ac:dyDescent="0.35">
      <c r="B10030"/>
    </row>
    <row r="10031" spans="1:2" x14ac:dyDescent="0.35">
      <c r="B10031"/>
    </row>
    <row r="10032" spans="1:2" x14ac:dyDescent="0.35">
      <c r="B10032"/>
    </row>
    <row r="10033" spans="1:2" x14ac:dyDescent="0.35">
      <c r="B10033"/>
    </row>
    <row r="10034" spans="1:2" x14ac:dyDescent="0.35">
      <c r="B10034"/>
    </row>
    <row r="10035" spans="1:2" x14ac:dyDescent="0.35">
      <c r="B10035"/>
    </row>
    <row r="10036" spans="1:2" x14ac:dyDescent="0.35">
      <c r="B10036"/>
    </row>
    <row r="10037" spans="1:2" x14ac:dyDescent="0.35">
      <c r="B10037"/>
    </row>
    <row r="10038" spans="1:2" x14ac:dyDescent="0.35">
      <c r="B10038"/>
    </row>
    <row r="10039" spans="1:2" x14ac:dyDescent="0.35">
      <c r="B10039"/>
    </row>
    <row r="10040" spans="1:2" x14ac:dyDescent="0.35">
      <c r="B10040"/>
    </row>
    <row r="10041" spans="1:2" ht="15.5" x14ac:dyDescent="0.35">
      <c r="A10041" s="49"/>
      <c r="B10041" s="49"/>
    </row>
    <row r="10042" spans="1:2" x14ac:dyDescent="0.35">
      <c r="B10042"/>
    </row>
    <row r="10043" spans="1:2" x14ac:dyDescent="0.35">
      <c r="B10043"/>
    </row>
    <row r="10044" spans="1:2" x14ac:dyDescent="0.35">
      <c r="B10044"/>
    </row>
    <row r="10045" spans="1:2" x14ac:dyDescent="0.35">
      <c r="B10045"/>
    </row>
    <row r="10046" spans="1:2" x14ac:dyDescent="0.35">
      <c r="B10046"/>
    </row>
    <row r="10047" spans="1:2" x14ac:dyDescent="0.35">
      <c r="B10047"/>
    </row>
    <row r="10048" spans="1:2" x14ac:dyDescent="0.35">
      <c r="B10048"/>
    </row>
    <row r="10049" spans="1:2" x14ac:dyDescent="0.35">
      <c r="B10049"/>
    </row>
    <row r="10050" spans="1:2" x14ac:dyDescent="0.35">
      <c r="B10050"/>
    </row>
    <row r="10051" spans="1:2" ht="15.5" x14ac:dyDescent="0.35">
      <c r="A10051" s="49"/>
      <c r="B10051"/>
    </row>
    <row r="10052" spans="1:2" x14ac:dyDescent="0.35">
      <c r="B10052"/>
    </row>
    <row r="10053" spans="1:2" x14ac:dyDescent="0.35">
      <c r="B10053"/>
    </row>
    <row r="10054" spans="1:2" x14ac:dyDescent="0.35">
      <c r="B10054"/>
    </row>
    <row r="10055" spans="1:2" x14ac:dyDescent="0.35">
      <c r="B10055"/>
    </row>
    <row r="10056" spans="1:2" x14ac:dyDescent="0.35">
      <c r="B10056"/>
    </row>
    <row r="10057" spans="1:2" x14ac:dyDescent="0.35">
      <c r="B10057"/>
    </row>
    <row r="10058" spans="1:2" x14ac:dyDescent="0.35">
      <c r="B10058"/>
    </row>
    <row r="10059" spans="1:2" x14ac:dyDescent="0.35">
      <c r="B10059"/>
    </row>
    <row r="10060" spans="1:2" x14ac:dyDescent="0.35">
      <c r="B10060"/>
    </row>
    <row r="10061" spans="1:2" x14ac:dyDescent="0.35">
      <c r="B10061"/>
    </row>
    <row r="10062" spans="1:2" x14ac:dyDescent="0.35">
      <c r="B10062"/>
    </row>
    <row r="10063" spans="1:2" x14ac:dyDescent="0.35">
      <c r="B10063"/>
    </row>
    <row r="10064" spans="1:2" x14ac:dyDescent="0.35">
      <c r="B10064"/>
    </row>
    <row r="10065" spans="1:2" x14ac:dyDescent="0.35">
      <c r="B10065"/>
    </row>
    <row r="10066" spans="1:2" x14ac:dyDescent="0.35">
      <c r="B10066"/>
    </row>
    <row r="10067" spans="1:2" x14ac:dyDescent="0.35">
      <c r="B10067"/>
    </row>
    <row r="10068" spans="1:2" x14ac:dyDescent="0.35">
      <c r="B10068"/>
    </row>
    <row r="10069" spans="1:2" x14ac:dyDescent="0.35">
      <c r="B10069"/>
    </row>
    <row r="10070" spans="1:2" x14ac:dyDescent="0.35">
      <c r="B10070"/>
    </row>
    <row r="10071" spans="1:2" x14ac:dyDescent="0.35">
      <c r="B10071"/>
    </row>
    <row r="10072" spans="1:2" x14ac:dyDescent="0.35">
      <c r="B10072"/>
    </row>
    <row r="10073" spans="1:2" x14ac:dyDescent="0.35">
      <c r="B10073"/>
    </row>
    <row r="10074" spans="1:2" x14ac:dyDescent="0.35">
      <c r="B10074"/>
    </row>
    <row r="10075" spans="1:2" ht="15.5" x14ac:dyDescent="0.35">
      <c r="A10075" s="49"/>
      <c r="B10075" s="49"/>
    </row>
    <row r="10076" spans="1:2" x14ac:dyDescent="0.35">
      <c r="B10076"/>
    </row>
    <row r="10077" spans="1:2" x14ac:dyDescent="0.35">
      <c r="B10077"/>
    </row>
    <row r="10078" spans="1:2" x14ac:dyDescent="0.35">
      <c r="B10078"/>
    </row>
    <row r="10079" spans="1:2" x14ac:dyDescent="0.35">
      <c r="B10079"/>
    </row>
    <row r="10080" spans="1:2" x14ac:dyDescent="0.35">
      <c r="B10080"/>
    </row>
    <row r="10081" spans="1:2" x14ac:dyDescent="0.35">
      <c r="B10081"/>
    </row>
    <row r="10082" spans="1:2" x14ac:dyDescent="0.35">
      <c r="B10082"/>
    </row>
    <row r="10083" spans="1:2" x14ac:dyDescent="0.35">
      <c r="B10083"/>
    </row>
    <row r="10084" spans="1:2" x14ac:dyDescent="0.35">
      <c r="B10084"/>
    </row>
    <row r="10085" spans="1:2" ht="15.5" x14ac:dyDescent="0.35">
      <c r="A10085" s="49"/>
      <c r="B10085"/>
    </row>
    <row r="10086" spans="1:2" x14ac:dyDescent="0.35">
      <c r="B10086"/>
    </row>
    <row r="10087" spans="1:2" x14ac:dyDescent="0.35">
      <c r="B10087"/>
    </row>
    <row r="10088" spans="1:2" x14ac:dyDescent="0.35">
      <c r="B10088"/>
    </row>
    <row r="10089" spans="1:2" x14ac:dyDescent="0.35">
      <c r="B10089"/>
    </row>
    <row r="10090" spans="1:2" x14ac:dyDescent="0.35">
      <c r="B10090"/>
    </row>
    <row r="10091" spans="1:2" x14ac:dyDescent="0.35">
      <c r="B10091"/>
    </row>
    <row r="10092" spans="1:2" x14ac:dyDescent="0.35">
      <c r="B10092"/>
    </row>
    <row r="10093" spans="1:2" x14ac:dyDescent="0.35">
      <c r="B10093"/>
    </row>
    <row r="10094" spans="1:2" x14ac:dyDescent="0.35">
      <c r="B10094"/>
    </row>
    <row r="10095" spans="1:2" x14ac:dyDescent="0.35">
      <c r="B10095"/>
    </row>
    <row r="10096" spans="1:2" x14ac:dyDescent="0.35">
      <c r="B10096"/>
    </row>
    <row r="10097" spans="1:2" x14ac:dyDescent="0.35">
      <c r="B10097"/>
    </row>
    <row r="10098" spans="1:2" x14ac:dyDescent="0.35">
      <c r="B10098"/>
    </row>
    <row r="10099" spans="1:2" x14ac:dyDescent="0.35">
      <c r="B10099"/>
    </row>
    <row r="10100" spans="1:2" x14ac:dyDescent="0.35">
      <c r="B10100"/>
    </row>
    <row r="10101" spans="1:2" x14ac:dyDescent="0.35">
      <c r="B10101"/>
    </row>
    <row r="10102" spans="1:2" x14ac:dyDescent="0.35">
      <c r="B10102"/>
    </row>
    <row r="10103" spans="1:2" x14ac:dyDescent="0.35">
      <c r="B10103"/>
    </row>
    <row r="10104" spans="1:2" x14ac:dyDescent="0.35">
      <c r="B10104"/>
    </row>
    <row r="10105" spans="1:2" x14ac:dyDescent="0.35">
      <c r="B10105"/>
    </row>
    <row r="10106" spans="1:2" x14ac:dyDescent="0.35">
      <c r="B10106"/>
    </row>
    <row r="10107" spans="1:2" x14ac:dyDescent="0.35">
      <c r="B10107"/>
    </row>
    <row r="10108" spans="1:2" x14ac:dyDescent="0.35">
      <c r="B10108"/>
    </row>
    <row r="10109" spans="1:2" ht="15.5" x14ac:dyDescent="0.35">
      <c r="A10109" s="49"/>
      <c r="B10109" s="49"/>
    </row>
    <row r="10110" spans="1:2" x14ac:dyDescent="0.35">
      <c r="B10110"/>
    </row>
    <row r="10111" spans="1:2" x14ac:dyDescent="0.35">
      <c r="B10111"/>
    </row>
    <row r="10112" spans="1:2" x14ac:dyDescent="0.35">
      <c r="B10112"/>
    </row>
    <row r="10113" spans="1:2" x14ac:dyDescent="0.35">
      <c r="B10113"/>
    </row>
    <row r="10114" spans="1:2" x14ac:dyDescent="0.35">
      <c r="B10114"/>
    </row>
    <row r="10115" spans="1:2" x14ac:dyDescent="0.35">
      <c r="B10115"/>
    </row>
    <row r="10116" spans="1:2" x14ac:dyDescent="0.35">
      <c r="B10116"/>
    </row>
    <row r="10117" spans="1:2" x14ac:dyDescent="0.35">
      <c r="B10117"/>
    </row>
    <row r="10118" spans="1:2" x14ac:dyDescent="0.35">
      <c r="B10118"/>
    </row>
    <row r="10119" spans="1:2" ht="15.5" x14ac:dyDescent="0.35">
      <c r="A10119" s="49"/>
      <c r="B10119"/>
    </row>
    <row r="10120" spans="1:2" x14ac:dyDescent="0.35">
      <c r="B10120"/>
    </row>
    <row r="10121" spans="1:2" x14ac:dyDescent="0.35">
      <c r="B10121"/>
    </row>
    <row r="10122" spans="1:2" x14ac:dyDescent="0.35">
      <c r="B10122"/>
    </row>
    <row r="10123" spans="1:2" x14ac:dyDescent="0.35">
      <c r="B10123"/>
    </row>
    <row r="10124" spans="1:2" x14ac:dyDescent="0.35">
      <c r="B10124"/>
    </row>
    <row r="10125" spans="1:2" x14ac:dyDescent="0.35">
      <c r="B10125"/>
    </row>
    <row r="10126" spans="1:2" x14ac:dyDescent="0.35">
      <c r="B10126"/>
    </row>
    <row r="10127" spans="1:2" x14ac:dyDescent="0.35">
      <c r="B10127"/>
    </row>
    <row r="10128" spans="1:2" x14ac:dyDescent="0.35">
      <c r="B10128"/>
    </row>
    <row r="10129" spans="1:2" x14ac:dyDescent="0.35">
      <c r="B10129"/>
    </row>
    <row r="10130" spans="1:2" x14ac:dyDescent="0.35">
      <c r="B10130"/>
    </row>
    <row r="10131" spans="1:2" x14ac:dyDescent="0.35">
      <c r="B10131"/>
    </row>
    <row r="10132" spans="1:2" x14ac:dyDescent="0.35">
      <c r="B10132"/>
    </row>
    <row r="10133" spans="1:2" x14ac:dyDescent="0.35">
      <c r="B10133"/>
    </row>
    <row r="10134" spans="1:2" x14ac:dyDescent="0.35">
      <c r="B10134"/>
    </row>
    <row r="10135" spans="1:2" x14ac:dyDescent="0.35">
      <c r="B10135"/>
    </row>
    <row r="10136" spans="1:2" x14ac:dyDescent="0.35">
      <c r="B10136"/>
    </row>
    <row r="10137" spans="1:2" x14ac:dyDescent="0.35">
      <c r="B10137"/>
    </row>
    <row r="10138" spans="1:2" x14ac:dyDescent="0.35">
      <c r="B10138"/>
    </row>
    <row r="10139" spans="1:2" x14ac:dyDescent="0.35">
      <c r="B10139"/>
    </row>
    <row r="10140" spans="1:2" x14ac:dyDescent="0.35">
      <c r="B10140"/>
    </row>
    <row r="10141" spans="1:2" x14ac:dyDescent="0.35">
      <c r="B10141"/>
    </row>
    <row r="10142" spans="1:2" x14ac:dyDescent="0.35">
      <c r="B10142"/>
    </row>
    <row r="10143" spans="1:2" ht="15.5" x14ac:dyDescent="0.35">
      <c r="A10143" s="49"/>
      <c r="B10143" s="49"/>
    </row>
    <row r="10144" spans="1:2" x14ac:dyDescent="0.35">
      <c r="B10144"/>
    </row>
    <row r="10145" spans="1:2" x14ac:dyDescent="0.35">
      <c r="B10145"/>
    </row>
    <row r="10146" spans="1:2" x14ac:dyDescent="0.35">
      <c r="B10146"/>
    </row>
    <row r="10147" spans="1:2" x14ac:dyDescent="0.35">
      <c r="B10147"/>
    </row>
    <row r="10148" spans="1:2" x14ac:dyDescent="0.35">
      <c r="B10148"/>
    </row>
    <row r="10149" spans="1:2" x14ac:dyDescent="0.35">
      <c r="B10149"/>
    </row>
    <row r="10150" spans="1:2" x14ac:dyDescent="0.35">
      <c r="B10150"/>
    </row>
    <row r="10151" spans="1:2" x14ac:dyDescent="0.35">
      <c r="B10151"/>
    </row>
    <row r="10152" spans="1:2" x14ac:dyDescent="0.35">
      <c r="B10152"/>
    </row>
    <row r="10153" spans="1:2" ht="15.5" x14ac:dyDescent="0.35">
      <c r="A10153" s="49"/>
      <c r="B10153"/>
    </row>
    <row r="10154" spans="1:2" x14ac:dyDescent="0.35">
      <c r="B10154"/>
    </row>
    <row r="10155" spans="1:2" x14ac:dyDescent="0.35">
      <c r="B10155"/>
    </row>
    <row r="10156" spans="1:2" x14ac:dyDescent="0.35">
      <c r="B10156"/>
    </row>
    <row r="10157" spans="1:2" x14ac:dyDescent="0.35">
      <c r="B10157"/>
    </row>
    <row r="10158" spans="1:2" x14ac:dyDescent="0.35">
      <c r="B10158"/>
    </row>
    <row r="10159" spans="1:2" x14ac:dyDescent="0.35">
      <c r="B10159"/>
    </row>
    <row r="10160" spans="1:2" x14ac:dyDescent="0.35">
      <c r="B10160"/>
    </row>
    <row r="10161" spans="2:2" x14ac:dyDescent="0.35">
      <c r="B10161"/>
    </row>
    <row r="10162" spans="2:2" x14ac:dyDescent="0.35">
      <c r="B10162"/>
    </row>
    <row r="10163" spans="2:2" x14ac:dyDescent="0.35">
      <c r="B10163"/>
    </row>
    <row r="10164" spans="2:2" x14ac:dyDescent="0.35">
      <c r="B10164"/>
    </row>
    <row r="10165" spans="2:2" x14ac:dyDescent="0.35">
      <c r="B10165"/>
    </row>
    <row r="10166" spans="2:2" x14ac:dyDescent="0.35">
      <c r="B10166"/>
    </row>
    <row r="10167" spans="2:2" x14ac:dyDescent="0.35">
      <c r="B10167"/>
    </row>
    <row r="10168" spans="2:2" x14ac:dyDescent="0.35">
      <c r="B10168"/>
    </row>
    <row r="10169" spans="2:2" x14ac:dyDescent="0.35">
      <c r="B10169"/>
    </row>
    <row r="10170" spans="2:2" x14ac:dyDescent="0.35">
      <c r="B10170"/>
    </row>
    <row r="10171" spans="2:2" x14ac:dyDescent="0.35">
      <c r="B10171"/>
    </row>
    <row r="10172" spans="2:2" x14ac:dyDescent="0.35">
      <c r="B10172"/>
    </row>
    <row r="10173" spans="2:2" x14ac:dyDescent="0.35">
      <c r="B10173"/>
    </row>
    <row r="10174" spans="2:2" x14ac:dyDescent="0.35">
      <c r="B10174"/>
    </row>
    <row r="10175" spans="2:2" x14ac:dyDescent="0.35">
      <c r="B10175"/>
    </row>
    <row r="10176" spans="2:2" x14ac:dyDescent="0.35">
      <c r="B10176"/>
    </row>
    <row r="10177" spans="1:2" ht="15.5" x14ac:dyDescent="0.35">
      <c r="A10177" s="49"/>
      <c r="B10177" s="49"/>
    </row>
    <row r="10178" spans="1:2" x14ac:dyDescent="0.35">
      <c r="B10178"/>
    </row>
    <row r="10179" spans="1:2" x14ac:dyDescent="0.35">
      <c r="B10179"/>
    </row>
    <row r="10180" spans="1:2" x14ac:dyDescent="0.35">
      <c r="B10180"/>
    </row>
    <row r="10181" spans="1:2" x14ac:dyDescent="0.35">
      <c r="B10181"/>
    </row>
    <row r="10182" spans="1:2" x14ac:dyDescent="0.35">
      <c r="B10182"/>
    </row>
    <row r="10183" spans="1:2" x14ac:dyDescent="0.35">
      <c r="B10183"/>
    </row>
    <row r="10184" spans="1:2" x14ac:dyDescent="0.35">
      <c r="B10184"/>
    </row>
    <row r="10185" spans="1:2" x14ac:dyDescent="0.35">
      <c r="B10185"/>
    </row>
    <row r="10186" spans="1:2" x14ac:dyDescent="0.35">
      <c r="B10186"/>
    </row>
    <row r="10187" spans="1:2" ht="15.5" x14ac:dyDescent="0.35">
      <c r="A10187" s="49"/>
      <c r="B10187"/>
    </row>
    <row r="10188" spans="1:2" x14ac:dyDescent="0.35">
      <c r="B10188"/>
    </row>
    <row r="10189" spans="1:2" x14ac:dyDescent="0.35">
      <c r="B10189"/>
    </row>
    <row r="10190" spans="1:2" x14ac:dyDescent="0.35">
      <c r="B10190"/>
    </row>
    <row r="10191" spans="1:2" x14ac:dyDescent="0.35">
      <c r="B10191"/>
    </row>
    <row r="10192" spans="1:2" x14ac:dyDescent="0.35">
      <c r="B10192"/>
    </row>
    <row r="10193" spans="2:2" x14ac:dyDescent="0.35">
      <c r="B10193"/>
    </row>
    <row r="10194" spans="2:2" x14ac:dyDescent="0.35">
      <c r="B10194"/>
    </row>
    <row r="10195" spans="2:2" x14ac:dyDescent="0.35">
      <c r="B10195"/>
    </row>
    <row r="10196" spans="2:2" x14ac:dyDescent="0.35">
      <c r="B10196"/>
    </row>
    <row r="10197" spans="2:2" x14ac:dyDescent="0.35">
      <c r="B10197"/>
    </row>
    <row r="10198" spans="2:2" x14ac:dyDescent="0.35">
      <c r="B10198"/>
    </row>
    <row r="10199" spans="2:2" x14ac:dyDescent="0.35">
      <c r="B10199"/>
    </row>
    <row r="10200" spans="2:2" x14ac:dyDescent="0.35">
      <c r="B10200"/>
    </row>
    <row r="10201" spans="2:2" x14ac:dyDescent="0.35">
      <c r="B10201"/>
    </row>
    <row r="10202" spans="2:2" x14ac:dyDescent="0.35">
      <c r="B10202"/>
    </row>
    <row r="10203" spans="2:2" x14ac:dyDescent="0.35">
      <c r="B10203"/>
    </row>
    <row r="10204" spans="2:2" x14ac:dyDescent="0.35">
      <c r="B10204"/>
    </row>
    <row r="10205" spans="2:2" x14ac:dyDescent="0.35">
      <c r="B10205"/>
    </row>
    <row r="10206" spans="2:2" x14ac:dyDescent="0.35">
      <c r="B10206"/>
    </row>
    <row r="10207" spans="2:2" x14ac:dyDescent="0.35">
      <c r="B10207"/>
    </row>
    <row r="10208" spans="2:2" x14ac:dyDescent="0.35">
      <c r="B10208"/>
    </row>
    <row r="10209" spans="1:2" x14ac:dyDescent="0.35">
      <c r="B10209"/>
    </row>
    <row r="10210" spans="1:2" x14ac:dyDescent="0.35">
      <c r="B10210"/>
    </row>
    <row r="10211" spans="1:2" ht="15.5" x14ac:dyDescent="0.35">
      <c r="A10211" s="49"/>
      <c r="B10211" s="49"/>
    </row>
    <row r="10212" spans="1:2" x14ac:dyDescent="0.35">
      <c r="B10212"/>
    </row>
    <row r="10213" spans="1:2" x14ac:dyDescent="0.35">
      <c r="B10213"/>
    </row>
    <row r="10214" spans="1:2" x14ac:dyDescent="0.35">
      <c r="B10214"/>
    </row>
    <row r="10215" spans="1:2" x14ac:dyDescent="0.35">
      <c r="B10215"/>
    </row>
    <row r="10216" spans="1:2" x14ac:dyDescent="0.35">
      <c r="B10216"/>
    </row>
    <row r="10217" spans="1:2" x14ac:dyDescent="0.35">
      <c r="B10217"/>
    </row>
    <row r="10218" spans="1:2" x14ac:dyDescent="0.35">
      <c r="B10218"/>
    </row>
    <row r="10219" spans="1:2" x14ac:dyDescent="0.35">
      <c r="B10219"/>
    </row>
    <row r="10220" spans="1:2" x14ac:dyDescent="0.35">
      <c r="B10220"/>
    </row>
    <row r="10221" spans="1:2" ht="15.5" x14ac:dyDescent="0.35">
      <c r="A10221" s="49"/>
      <c r="B10221"/>
    </row>
    <row r="10222" spans="1:2" x14ac:dyDescent="0.35">
      <c r="B10222"/>
    </row>
    <row r="10223" spans="1:2" x14ac:dyDescent="0.35">
      <c r="B10223"/>
    </row>
    <row r="10224" spans="1:2" x14ac:dyDescent="0.35">
      <c r="B10224"/>
    </row>
    <row r="10225" spans="2:2" x14ac:dyDescent="0.35">
      <c r="B10225"/>
    </row>
    <row r="10226" spans="2:2" x14ac:dyDescent="0.35">
      <c r="B10226"/>
    </row>
    <row r="10227" spans="2:2" x14ac:dyDescent="0.35">
      <c r="B10227"/>
    </row>
    <row r="10228" spans="2:2" x14ac:dyDescent="0.35">
      <c r="B10228"/>
    </row>
    <row r="10229" spans="2:2" x14ac:dyDescent="0.35">
      <c r="B10229"/>
    </row>
    <row r="10230" spans="2:2" x14ac:dyDescent="0.35">
      <c r="B10230"/>
    </row>
    <row r="10231" spans="2:2" x14ac:dyDescent="0.35">
      <c r="B10231"/>
    </row>
    <row r="10232" spans="2:2" x14ac:dyDescent="0.35">
      <c r="B10232"/>
    </row>
    <row r="10233" spans="2:2" x14ac:dyDescent="0.35">
      <c r="B10233"/>
    </row>
    <row r="10234" spans="2:2" x14ac:dyDescent="0.35">
      <c r="B10234"/>
    </row>
    <row r="10235" spans="2:2" x14ac:dyDescent="0.35">
      <c r="B10235"/>
    </row>
    <row r="10236" spans="2:2" x14ac:dyDescent="0.35">
      <c r="B10236"/>
    </row>
    <row r="10237" spans="2:2" x14ac:dyDescent="0.35">
      <c r="B10237"/>
    </row>
    <row r="10238" spans="2:2" x14ac:dyDescent="0.35">
      <c r="B10238"/>
    </row>
    <row r="10239" spans="2:2" x14ac:dyDescent="0.35">
      <c r="B10239"/>
    </row>
    <row r="10240" spans="2:2" x14ac:dyDescent="0.35">
      <c r="B10240"/>
    </row>
    <row r="10241" spans="1:2" x14ac:dyDescent="0.35">
      <c r="B10241"/>
    </row>
    <row r="10242" spans="1:2" x14ac:dyDescent="0.35">
      <c r="B10242"/>
    </row>
    <row r="10243" spans="1:2" x14ac:dyDescent="0.35">
      <c r="B10243"/>
    </row>
    <row r="10244" spans="1:2" x14ac:dyDescent="0.35">
      <c r="B10244"/>
    </row>
    <row r="10245" spans="1:2" ht="15.5" x14ac:dyDescent="0.35">
      <c r="A10245" s="49"/>
      <c r="B10245" s="49"/>
    </row>
    <row r="10246" spans="1:2" x14ac:dyDescent="0.35">
      <c r="B10246"/>
    </row>
    <row r="10247" spans="1:2" x14ac:dyDescent="0.35">
      <c r="B10247"/>
    </row>
    <row r="10248" spans="1:2" x14ac:dyDescent="0.35">
      <c r="B10248"/>
    </row>
    <row r="10249" spans="1:2" x14ac:dyDescent="0.35">
      <c r="B10249"/>
    </row>
    <row r="10250" spans="1:2" x14ac:dyDescent="0.35">
      <c r="B10250"/>
    </row>
    <row r="10251" spans="1:2" x14ac:dyDescent="0.35">
      <c r="B10251"/>
    </row>
    <row r="10252" spans="1:2" x14ac:dyDescent="0.35">
      <c r="B10252"/>
    </row>
    <row r="10253" spans="1:2" x14ac:dyDescent="0.35">
      <c r="B10253"/>
    </row>
    <row r="10254" spans="1:2" x14ac:dyDescent="0.35">
      <c r="B10254"/>
    </row>
    <row r="10255" spans="1:2" ht="15.5" x14ac:dyDescent="0.35">
      <c r="A10255" s="49"/>
      <c r="B10255"/>
    </row>
    <row r="10256" spans="1:2" x14ac:dyDescent="0.35">
      <c r="B10256"/>
    </row>
    <row r="10257" spans="2:2" x14ac:dyDescent="0.35">
      <c r="B10257"/>
    </row>
    <row r="10258" spans="2:2" x14ac:dyDescent="0.35">
      <c r="B10258"/>
    </row>
    <row r="10259" spans="2:2" x14ac:dyDescent="0.35">
      <c r="B10259"/>
    </row>
    <row r="10260" spans="2:2" x14ac:dyDescent="0.35">
      <c r="B10260"/>
    </row>
    <row r="10261" spans="2:2" x14ac:dyDescent="0.35">
      <c r="B10261"/>
    </row>
    <row r="10262" spans="2:2" x14ac:dyDescent="0.35">
      <c r="B10262"/>
    </row>
    <row r="10263" spans="2:2" x14ac:dyDescent="0.35">
      <c r="B10263"/>
    </row>
    <row r="10264" spans="2:2" x14ac:dyDescent="0.35">
      <c r="B10264"/>
    </row>
    <row r="10265" spans="2:2" x14ac:dyDescent="0.35">
      <c r="B10265"/>
    </row>
    <row r="10266" spans="2:2" x14ac:dyDescent="0.35">
      <c r="B10266"/>
    </row>
    <row r="10267" spans="2:2" x14ac:dyDescent="0.35">
      <c r="B10267"/>
    </row>
    <row r="10268" spans="2:2" x14ac:dyDescent="0.35">
      <c r="B10268"/>
    </row>
    <row r="10269" spans="2:2" x14ac:dyDescent="0.35">
      <c r="B10269"/>
    </row>
    <row r="10270" spans="2:2" x14ac:dyDescent="0.35">
      <c r="B10270"/>
    </row>
    <row r="10271" spans="2:2" x14ac:dyDescent="0.35">
      <c r="B10271"/>
    </row>
    <row r="10272" spans="2:2" x14ac:dyDescent="0.35">
      <c r="B10272"/>
    </row>
    <row r="10273" spans="1:2" x14ac:dyDescent="0.35">
      <c r="B10273"/>
    </row>
    <row r="10274" spans="1:2" x14ac:dyDescent="0.35">
      <c r="B10274"/>
    </row>
    <row r="10275" spans="1:2" x14ac:dyDescent="0.35">
      <c r="B10275"/>
    </row>
    <row r="10276" spans="1:2" x14ac:dyDescent="0.35">
      <c r="B10276"/>
    </row>
    <row r="10277" spans="1:2" x14ac:dyDescent="0.35">
      <c r="B10277"/>
    </row>
    <row r="10278" spans="1:2" x14ac:dyDescent="0.35">
      <c r="B10278"/>
    </row>
    <row r="10279" spans="1:2" ht="15.5" x14ac:dyDescent="0.35">
      <c r="A10279" s="49"/>
      <c r="B10279" s="49"/>
    </row>
    <row r="10280" spans="1:2" x14ac:dyDescent="0.35">
      <c r="B10280"/>
    </row>
    <row r="10281" spans="1:2" x14ac:dyDescent="0.35">
      <c r="B10281"/>
    </row>
    <row r="10282" spans="1:2" x14ac:dyDescent="0.35">
      <c r="B10282"/>
    </row>
    <row r="10283" spans="1:2" x14ac:dyDescent="0.35">
      <c r="B10283"/>
    </row>
    <row r="10284" spans="1:2" x14ac:dyDescent="0.35">
      <c r="B10284"/>
    </row>
    <row r="10285" spans="1:2" x14ac:dyDescent="0.35">
      <c r="B10285"/>
    </row>
    <row r="10286" spans="1:2" x14ac:dyDescent="0.35">
      <c r="B10286"/>
    </row>
    <row r="10287" spans="1:2" x14ac:dyDescent="0.35">
      <c r="B10287"/>
    </row>
    <row r="10288" spans="1:2" x14ac:dyDescent="0.35">
      <c r="B10288"/>
    </row>
    <row r="10289" spans="1:2" ht="15.5" x14ac:dyDescent="0.35">
      <c r="A10289" s="49"/>
      <c r="B10289"/>
    </row>
    <row r="10290" spans="1:2" x14ac:dyDescent="0.35">
      <c r="B10290"/>
    </row>
    <row r="10291" spans="1:2" x14ac:dyDescent="0.35">
      <c r="B10291"/>
    </row>
    <row r="10292" spans="1:2" x14ac:dyDescent="0.35">
      <c r="B10292"/>
    </row>
    <row r="10293" spans="1:2" x14ac:dyDescent="0.35">
      <c r="B10293"/>
    </row>
    <row r="10294" spans="1:2" x14ac:dyDescent="0.35">
      <c r="B10294"/>
    </row>
    <row r="10295" spans="1:2" x14ac:dyDescent="0.35">
      <c r="B10295"/>
    </row>
    <row r="10296" spans="1:2" x14ac:dyDescent="0.35">
      <c r="B10296"/>
    </row>
    <row r="10297" spans="1:2" x14ac:dyDescent="0.35">
      <c r="B10297"/>
    </row>
    <row r="10298" spans="1:2" x14ac:dyDescent="0.35">
      <c r="B10298"/>
    </row>
    <row r="10299" spans="1:2" x14ac:dyDescent="0.35">
      <c r="B10299"/>
    </row>
    <row r="10300" spans="1:2" x14ac:dyDescent="0.35">
      <c r="B10300"/>
    </row>
    <row r="10301" spans="1:2" x14ac:dyDescent="0.35">
      <c r="B10301"/>
    </row>
    <row r="10302" spans="1:2" x14ac:dyDescent="0.35">
      <c r="B10302"/>
    </row>
    <row r="10303" spans="1:2" x14ac:dyDescent="0.35">
      <c r="B10303"/>
    </row>
    <row r="10304" spans="1:2" x14ac:dyDescent="0.35">
      <c r="B10304"/>
    </row>
    <row r="10305" spans="1:2" x14ac:dyDescent="0.35">
      <c r="B10305"/>
    </row>
    <row r="10306" spans="1:2" x14ac:dyDescent="0.35">
      <c r="B10306"/>
    </row>
    <row r="10307" spans="1:2" x14ac:dyDescent="0.35">
      <c r="B10307"/>
    </row>
    <row r="10308" spans="1:2" x14ac:dyDescent="0.35">
      <c r="B10308"/>
    </row>
    <row r="10309" spans="1:2" x14ac:dyDescent="0.35">
      <c r="B10309"/>
    </row>
    <row r="10310" spans="1:2" x14ac:dyDescent="0.35">
      <c r="B10310"/>
    </row>
    <row r="10311" spans="1:2" x14ac:dyDescent="0.35">
      <c r="B10311"/>
    </row>
    <row r="10312" spans="1:2" x14ac:dyDescent="0.35">
      <c r="B10312"/>
    </row>
    <row r="10313" spans="1:2" ht="15.5" x14ac:dyDescent="0.35">
      <c r="A10313" s="49"/>
      <c r="B10313" s="49"/>
    </row>
    <row r="10314" spans="1:2" x14ac:dyDescent="0.35">
      <c r="B10314"/>
    </row>
    <row r="10315" spans="1:2" x14ac:dyDescent="0.35">
      <c r="B10315"/>
    </row>
    <row r="10316" spans="1:2" x14ac:dyDescent="0.35">
      <c r="B10316"/>
    </row>
    <row r="10317" spans="1:2" x14ac:dyDescent="0.35">
      <c r="B10317"/>
    </row>
    <row r="10318" spans="1:2" x14ac:dyDescent="0.35">
      <c r="B10318"/>
    </row>
    <row r="10319" spans="1:2" x14ac:dyDescent="0.35">
      <c r="B10319"/>
    </row>
    <row r="10320" spans="1:2" x14ac:dyDescent="0.35">
      <c r="B10320"/>
    </row>
    <row r="10321" spans="1:2" x14ac:dyDescent="0.35">
      <c r="B10321"/>
    </row>
    <row r="10322" spans="1:2" x14ac:dyDescent="0.35">
      <c r="B10322"/>
    </row>
    <row r="10323" spans="1:2" ht="15.5" x14ac:dyDescent="0.35">
      <c r="A10323" s="49"/>
      <c r="B10323"/>
    </row>
    <row r="10324" spans="1:2" x14ac:dyDescent="0.35">
      <c r="B10324"/>
    </row>
    <row r="10325" spans="1:2" x14ac:dyDescent="0.35">
      <c r="B10325"/>
    </row>
    <row r="10326" spans="1:2" x14ac:dyDescent="0.35">
      <c r="B10326"/>
    </row>
    <row r="10327" spans="1:2" x14ac:dyDescent="0.35">
      <c r="B10327"/>
    </row>
    <row r="10328" spans="1:2" x14ac:dyDescent="0.35">
      <c r="B10328"/>
    </row>
    <row r="10329" spans="1:2" x14ac:dyDescent="0.35">
      <c r="B10329"/>
    </row>
    <row r="10330" spans="1:2" x14ac:dyDescent="0.35">
      <c r="B10330"/>
    </row>
    <row r="10331" spans="1:2" x14ac:dyDescent="0.35">
      <c r="B10331"/>
    </row>
    <row r="10332" spans="1:2" x14ac:dyDescent="0.35">
      <c r="B10332"/>
    </row>
    <row r="10333" spans="1:2" x14ac:dyDescent="0.35">
      <c r="B10333"/>
    </row>
    <row r="10334" spans="1:2" x14ac:dyDescent="0.35">
      <c r="B10334"/>
    </row>
    <row r="10335" spans="1:2" x14ac:dyDescent="0.35">
      <c r="B10335"/>
    </row>
    <row r="10336" spans="1:2" x14ac:dyDescent="0.35">
      <c r="B10336"/>
    </row>
    <row r="10337" spans="1:2" x14ac:dyDescent="0.35">
      <c r="B10337"/>
    </row>
    <row r="10338" spans="1:2" x14ac:dyDescent="0.35">
      <c r="B10338"/>
    </row>
    <row r="10339" spans="1:2" x14ac:dyDescent="0.35">
      <c r="B10339"/>
    </row>
    <row r="10340" spans="1:2" x14ac:dyDescent="0.35">
      <c r="B10340"/>
    </row>
    <row r="10341" spans="1:2" x14ac:dyDescent="0.35">
      <c r="B10341"/>
    </row>
    <row r="10342" spans="1:2" x14ac:dyDescent="0.35">
      <c r="B10342"/>
    </row>
    <row r="10343" spans="1:2" x14ac:dyDescent="0.35">
      <c r="B10343"/>
    </row>
    <row r="10344" spans="1:2" x14ac:dyDescent="0.35">
      <c r="B10344"/>
    </row>
    <row r="10345" spans="1:2" x14ac:dyDescent="0.35">
      <c r="B10345"/>
    </row>
    <row r="10346" spans="1:2" x14ac:dyDescent="0.35">
      <c r="B10346"/>
    </row>
    <row r="10347" spans="1:2" ht="15.5" x14ac:dyDescent="0.35">
      <c r="A10347" s="49"/>
      <c r="B10347" s="49"/>
    </row>
    <row r="10348" spans="1:2" x14ac:dyDescent="0.35">
      <c r="B10348"/>
    </row>
    <row r="10349" spans="1:2" x14ac:dyDescent="0.35">
      <c r="B10349"/>
    </row>
    <row r="10350" spans="1:2" x14ac:dyDescent="0.35">
      <c r="B10350"/>
    </row>
    <row r="10351" spans="1:2" x14ac:dyDescent="0.35">
      <c r="B10351"/>
    </row>
    <row r="10352" spans="1:2" x14ac:dyDescent="0.35">
      <c r="B10352"/>
    </row>
    <row r="10353" spans="1:2" x14ac:dyDescent="0.35">
      <c r="B10353"/>
    </row>
    <row r="10354" spans="1:2" x14ac:dyDescent="0.35">
      <c r="B10354"/>
    </row>
    <row r="10355" spans="1:2" x14ac:dyDescent="0.35">
      <c r="B10355"/>
    </row>
    <row r="10356" spans="1:2" x14ac:dyDescent="0.35">
      <c r="B10356"/>
    </row>
    <row r="10357" spans="1:2" ht="15.5" x14ac:dyDescent="0.35">
      <c r="A10357" s="49"/>
      <c r="B10357"/>
    </row>
    <row r="10358" spans="1:2" x14ac:dyDescent="0.35">
      <c r="B10358"/>
    </row>
    <row r="10359" spans="1:2" x14ac:dyDescent="0.35">
      <c r="B10359"/>
    </row>
    <row r="10360" spans="1:2" x14ac:dyDescent="0.35">
      <c r="B10360"/>
    </row>
    <row r="10361" spans="1:2" x14ac:dyDescent="0.35">
      <c r="B10361"/>
    </row>
    <row r="10362" spans="1:2" x14ac:dyDescent="0.35">
      <c r="B10362"/>
    </row>
    <row r="10363" spans="1:2" x14ac:dyDescent="0.35">
      <c r="B10363"/>
    </row>
    <row r="10364" spans="1:2" x14ac:dyDescent="0.35">
      <c r="B10364"/>
    </row>
    <row r="10365" spans="1:2" x14ac:dyDescent="0.35">
      <c r="B10365"/>
    </row>
    <row r="10366" spans="1:2" x14ac:dyDescent="0.35">
      <c r="B10366"/>
    </row>
    <row r="10367" spans="1:2" x14ac:dyDescent="0.35">
      <c r="B10367"/>
    </row>
    <row r="10368" spans="1:2" x14ac:dyDescent="0.35">
      <c r="B10368"/>
    </row>
    <row r="10369" spans="1:2" x14ac:dyDescent="0.35">
      <c r="B10369"/>
    </row>
    <row r="10370" spans="1:2" x14ac:dyDescent="0.35">
      <c r="B10370"/>
    </row>
    <row r="10371" spans="1:2" x14ac:dyDescent="0.35">
      <c r="B10371"/>
    </row>
    <row r="10372" spans="1:2" x14ac:dyDescent="0.35">
      <c r="B10372"/>
    </row>
    <row r="10373" spans="1:2" x14ac:dyDescent="0.35">
      <c r="B10373"/>
    </row>
    <row r="10374" spans="1:2" x14ac:dyDescent="0.35">
      <c r="B10374"/>
    </row>
    <row r="10375" spans="1:2" x14ac:dyDescent="0.35">
      <c r="B10375"/>
    </row>
    <row r="10376" spans="1:2" x14ac:dyDescent="0.35">
      <c r="B10376"/>
    </row>
    <row r="10377" spans="1:2" x14ac:dyDescent="0.35">
      <c r="B10377"/>
    </row>
    <row r="10378" spans="1:2" x14ac:dyDescent="0.35">
      <c r="B10378"/>
    </row>
    <row r="10379" spans="1:2" x14ac:dyDescent="0.35">
      <c r="B10379"/>
    </row>
    <row r="10380" spans="1:2" x14ac:dyDescent="0.35">
      <c r="B10380"/>
    </row>
    <row r="10381" spans="1:2" ht="15.5" x14ac:dyDescent="0.35">
      <c r="A10381" s="49"/>
      <c r="B10381" s="49"/>
    </row>
    <row r="10382" spans="1:2" x14ac:dyDescent="0.35">
      <c r="B10382"/>
    </row>
    <row r="10383" spans="1:2" x14ac:dyDescent="0.35">
      <c r="B10383"/>
    </row>
    <row r="10384" spans="1:2" x14ac:dyDescent="0.35">
      <c r="B10384"/>
    </row>
    <row r="10385" spans="1:2" x14ac:dyDescent="0.35">
      <c r="B10385"/>
    </row>
    <row r="10386" spans="1:2" x14ac:dyDescent="0.35">
      <c r="B10386"/>
    </row>
    <row r="10387" spans="1:2" x14ac:dyDescent="0.35">
      <c r="B10387"/>
    </row>
    <row r="10388" spans="1:2" x14ac:dyDescent="0.35">
      <c r="B10388"/>
    </row>
    <row r="10389" spans="1:2" x14ac:dyDescent="0.35">
      <c r="B10389"/>
    </row>
    <row r="10390" spans="1:2" x14ac:dyDescent="0.35">
      <c r="B10390"/>
    </row>
    <row r="10391" spans="1:2" ht="15.5" x14ac:dyDescent="0.35">
      <c r="A10391" s="49"/>
      <c r="B10391"/>
    </row>
    <row r="10392" spans="1:2" x14ac:dyDescent="0.35">
      <c r="B10392"/>
    </row>
    <row r="10393" spans="1:2" x14ac:dyDescent="0.35">
      <c r="B10393"/>
    </row>
    <row r="10394" spans="1:2" x14ac:dyDescent="0.35">
      <c r="B10394"/>
    </row>
    <row r="10395" spans="1:2" x14ac:dyDescent="0.35">
      <c r="B10395"/>
    </row>
    <row r="10396" spans="1:2" x14ac:dyDescent="0.35">
      <c r="B10396"/>
    </row>
    <row r="10397" spans="1:2" x14ac:dyDescent="0.35">
      <c r="B10397"/>
    </row>
    <row r="10398" spans="1:2" x14ac:dyDescent="0.35">
      <c r="B10398"/>
    </row>
    <row r="10399" spans="1:2" x14ac:dyDescent="0.35">
      <c r="B10399"/>
    </row>
    <row r="10400" spans="1:2" x14ac:dyDescent="0.35">
      <c r="B10400"/>
    </row>
    <row r="10401" spans="1:2" x14ac:dyDescent="0.35">
      <c r="B10401"/>
    </row>
    <row r="10402" spans="1:2" x14ac:dyDescent="0.35">
      <c r="B10402"/>
    </row>
    <row r="10403" spans="1:2" x14ac:dyDescent="0.35">
      <c r="B10403"/>
    </row>
    <row r="10404" spans="1:2" x14ac:dyDescent="0.35">
      <c r="B10404"/>
    </row>
    <row r="10405" spans="1:2" x14ac:dyDescent="0.35">
      <c r="B10405"/>
    </row>
    <row r="10406" spans="1:2" x14ac:dyDescent="0.35">
      <c r="B10406"/>
    </row>
    <row r="10407" spans="1:2" x14ac:dyDescent="0.35">
      <c r="B10407"/>
    </row>
    <row r="10408" spans="1:2" x14ac:dyDescent="0.35">
      <c r="B10408"/>
    </row>
    <row r="10409" spans="1:2" x14ac:dyDescent="0.35">
      <c r="B10409"/>
    </row>
    <row r="10410" spans="1:2" x14ac:dyDescent="0.35">
      <c r="B10410"/>
    </row>
    <row r="10411" spans="1:2" x14ac:dyDescent="0.35">
      <c r="B10411"/>
    </row>
    <row r="10412" spans="1:2" x14ac:dyDescent="0.35">
      <c r="B10412"/>
    </row>
    <row r="10413" spans="1:2" x14ac:dyDescent="0.35">
      <c r="B10413"/>
    </row>
    <row r="10414" spans="1:2" x14ac:dyDescent="0.35">
      <c r="B10414"/>
    </row>
    <row r="10415" spans="1:2" ht="15.5" x14ac:dyDescent="0.35">
      <c r="A10415" s="49"/>
      <c r="B10415" s="49"/>
    </row>
    <row r="10416" spans="1:2" x14ac:dyDescent="0.35">
      <c r="B10416"/>
    </row>
    <row r="10417" spans="1:2" x14ac:dyDescent="0.35">
      <c r="B10417"/>
    </row>
    <row r="10418" spans="1:2" x14ac:dyDescent="0.35">
      <c r="B10418"/>
    </row>
    <row r="10419" spans="1:2" x14ac:dyDescent="0.35">
      <c r="B10419"/>
    </row>
    <row r="10420" spans="1:2" x14ac:dyDescent="0.35">
      <c r="B10420"/>
    </row>
    <row r="10421" spans="1:2" x14ac:dyDescent="0.35">
      <c r="B10421"/>
    </row>
    <row r="10422" spans="1:2" x14ac:dyDescent="0.35">
      <c r="B10422"/>
    </row>
    <row r="10423" spans="1:2" x14ac:dyDescent="0.35">
      <c r="B10423"/>
    </row>
    <row r="10424" spans="1:2" x14ac:dyDescent="0.35">
      <c r="B10424"/>
    </row>
    <row r="10425" spans="1:2" ht="15.5" x14ac:dyDescent="0.35">
      <c r="A10425" s="49"/>
      <c r="B10425"/>
    </row>
    <row r="10426" spans="1:2" x14ac:dyDescent="0.35">
      <c r="B10426"/>
    </row>
    <row r="10427" spans="1:2" x14ac:dyDescent="0.35">
      <c r="B10427"/>
    </row>
    <row r="10428" spans="1:2" x14ac:dyDescent="0.35">
      <c r="B10428"/>
    </row>
    <row r="10429" spans="1:2" x14ac:dyDescent="0.35">
      <c r="B10429"/>
    </row>
    <row r="10430" spans="1:2" x14ac:dyDescent="0.35">
      <c r="B10430"/>
    </row>
    <row r="10431" spans="1:2" x14ac:dyDescent="0.35">
      <c r="B10431"/>
    </row>
    <row r="10432" spans="1:2" x14ac:dyDescent="0.35">
      <c r="B10432"/>
    </row>
    <row r="10433" spans="2:2" x14ac:dyDescent="0.35">
      <c r="B10433"/>
    </row>
    <row r="10434" spans="2:2" x14ac:dyDescent="0.35">
      <c r="B10434"/>
    </row>
    <row r="10435" spans="2:2" x14ac:dyDescent="0.35">
      <c r="B10435"/>
    </row>
    <row r="10436" spans="2:2" x14ac:dyDescent="0.35">
      <c r="B10436"/>
    </row>
    <row r="10437" spans="2:2" x14ac:dyDescent="0.35">
      <c r="B10437"/>
    </row>
    <row r="10438" spans="2:2" x14ac:dyDescent="0.35">
      <c r="B10438"/>
    </row>
    <row r="10439" spans="2:2" x14ac:dyDescent="0.35">
      <c r="B10439"/>
    </row>
    <row r="10440" spans="2:2" x14ac:dyDescent="0.35">
      <c r="B10440"/>
    </row>
    <row r="10441" spans="2:2" x14ac:dyDescent="0.35">
      <c r="B10441"/>
    </row>
    <row r="10442" spans="2:2" x14ac:dyDescent="0.35">
      <c r="B10442"/>
    </row>
    <row r="10443" spans="2:2" x14ac:dyDescent="0.35">
      <c r="B10443"/>
    </row>
    <row r="10444" spans="2:2" x14ac:dyDescent="0.35">
      <c r="B10444"/>
    </row>
    <row r="10445" spans="2:2" x14ac:dyDescent="0.35">
      <c r="B10445"/>
    </row>
    <row r="10446" spans="2:2" x14ac:dyDescent="0.35">
      <c r="B10446"/>
    </row>
    <row r="10447" spans="2:2" x14ac:dyDescent="0.35">
      <c r="B10447"/>
    </row>
    <row r="10448" spans="2:2" x14ac:dyDescent="0.35">
      <c r="B10448"/>
    </row>
    <row r="10449" spans="1:2" ht="15.5" x14ac:dyDescent="0.35">
      <c r="A10449" s="49"/>
      <c r="B10449" s="49"/>
    </row>
    <row r="10450" spans="1:2" x14ac:dyDescent="0.35">
      <c r="B10450"/>
    </row>
    <row r="10451" spans="1:2" x14ac:dyDescent="0.35">
      <c r="B10451"/>
    </row>
    <row r="10452" spans="1:2" x14ac:dyDescent="0.35">
      <c r="B10452"/>
    </row>
    <row r="10453" spans="1:2" x14ac:dyDescent="0.35">
      <c r="B10453"/>
    </row>
    <row r="10454" spans="1:2" x14ac:dyDescent="0.35">
      <c r="B10454"/>
    </row>
    <row r="10455" spans="1:2" x14ac:dyDescent="0.35">
      <c r="B10455"/>
    </row>
    <row r="10456" spans="1:2" x14ac:dyDescent="0.35">
      <c r="B10456"/>
    </row>
    <row r="10457" spans="1:2" x14ac:dyDescent="0.35">
      <c r="B10457"/>
    </row>
    <row r="10458" spans="1:2" x14ac:dyDescent="0.35">
      <c r="B10458"/>
    </row>
    <row r="10459" spans="1:2" ht="15.5" x14ac:dyDescent="0.35">
      <c r="A10459" s="49"/>
      <c r="B10459"/>
    </row>
    <row r="10460" spans="1:2" x14ac:dyDescent="0.35">
      <c r="B10460"/>
    </row>
    <row r="10461" spans="1:2" x14ac:dyDescent="0.35">
      <c r="B10461"/>
    </row>
    <row r="10462" spans="1:2" x14ac:dyDescent="0.35">
      <c r="B10462"/>
    </row>
    <row r="10463" spans="1:2" x14ac:dyDescent="0.35">
      <c r="B10463"/>
    </row>
    <row r="10464" spans="1:2" x14ac:dyDescent="0.35">
      <c r="B10464"/>
    </row>
    <row r="10465" spans="2:2" x14ac:dyDescent="0.35">
      <c r="B10465"/>
    </row>
    <row r="10466" spans="2:2" x14ac:dyDescent="0.35">
      <c r="B10466"/>
    </row>
    <row r="10467" spans="2:2" x14ac:dyDescent="0.35">
      <c r="B10467"/>
    </row>
    <row r="10468" spans="2:2" x14ac:dyDescent="0.35">
      <c r="B10468"/>
    </row>
    <row r="10469" spans="2:2" x14ac:dyDescent="0.35">
      <c r="B10469"/>
    </row>
    <row r="10470" spans="2:2" x14ac:dyDescent="0.35">
      <c r="B10470"/>
    </row>
    <row r="10471" spans="2:2" x14ac:dyDescent="0.35">
      <c r="B10471"/>
    </row>
    <row r="10472" spans="2:2" x14ac:dyDescent="0.35">
      <c r="B10472"/>
    </row>
    <row r="10473" spans="2:2" x14ac:dyDescent="0.35">
      <c r="B10473"/>
    </row>
    <row r="10474" spans="2:2" x14ac:dyDescent="0.35">
      <c r="B10474"/>
    </row>
    <row r="10475" spans="2:2" x14ac:dyDescent="0.35">
      <c r="B10475"/>
    </row>
    <row r="10476" spans="2:2" x14ac:dyDescent="0.35">
      <c r="B10476"/>
    </row>
    <row r="10477" spans="2:2" x14ac:dyDescent="0.35">
      <c r="B10477"/>
    </row>
    <row r="10478" spans="2:2" x14ac:dyDescent="0.35">
      <c r="B10478"/>
    </row>
    <row r="10479" spans="2:2" x14ac:dyDescent="0.35">
      <c r="B10479"/>
    </row>
    <row r="10480" spans="2:2" x14ac:dyDescent="0.35">
      <c r="B10480"/>
    </row>
    <row r="10481" spans="1:2" x14ac:dyDescent="0.35">
      <c r="B10481"/>
    </row>
    <row r="10482" spans="1:2" x14ac:dyDescent="0.35">
      <c r="B10482"/>
    </row>
    <row r="10483" spans="1:2" ht="15.5" x14ac:dyDescent="0.35">
      <c r="A10483" s="49"/>
      <c r="B10483" s="49"/>
    </row>
    <row r="10484" spans="1:2" x14ac:dyDescent="0.35">
      <c r="B10484"/>
    </row>
    <row r="10485" spans="1:2" x14ac:dyDescent="0.35">
      <c r="B10485"/>
    </row>
    <row r="10486" spans="1:2" x14ac:dyDescent="0.35">
      <c r="B10486"/>
    </row>
    <row r="10487" spans="1:2" x14ac:dyDescent="0.35">
      <c r="B10487"/>
    </row>
    <row r="10488" spans="1:2" x14ac:dyDescent="0.35">
      <c r="B10488"/>
    </row>
    <row r="10489" spans="1:2" x14ac:dyDescent="0.35">
      <c r="B10489"/>
    </row>
    <row r="10490" spans="1:2" x14ac:dyDescent="0.35">
      <c r="B10490"/>
    </row>
    <row r="10491" spans="1:2" x14ac:dyDescent="0.35">
      <c r="B10491"/>
    </row>
    <row r="10492" spans="1:2" x14ac:dyDescent="0.35">
      <c r="B10492"/>
    </row>
    <row r="10493" spans="1:2" ht="15.5" x14ac:dyDescent="0.35">
      <c r="A10493" s="49"/>
      <c r="B10493"/>
    </row>
    <row r="10494" spans="1:2" x14ac:dyDescent="0.35">
      <c r="B10494"/>
    </row>
    <row r="10495" spans="1:2" x14ac:dyDescent="0.35">
      <c r="B10495"/>
    </row>
    <row r="10496" spans="1:2" x14ac:dyDescent="0.35">
      <c r="B10496"/>
    </row>
    <row r="10497" spans="2:2" x14ac:dyDescent="0.35">
      <c r="B10497"/>
    </row>
    <row r="10498" spans="2:2" x14ac:dyDescent="0.35">
      <c r="B10498"/>
    </row>
    <row r="10499" spans="2:2" x14ac:dyDescent="0.35">
      <c r="B10499"/>
    </row>
    <row r="10500" spans="2:2" x14ac:dyDescent="0.35">
      <c r="B10500"/>
    </row>
    <row r="10501" spans="2:2" x14ac:dyDescent="0.35">
      <c r="B10501"/>
    </row>
    <row r="10502" spans="2:2" x14ac:dyDescent="0.35">
      <c r="B10502"/>
    </row>
    <row r="10503" spans="2:2" x14ac:dyDescent="0.35">
      <c r="B10503"/>
    </row>
    <row r="10504" spans="2:2" x14ac:dyDescent="0.35">
      <c r="B10504"/>
    </row>
    <row r="10505" spans="2:2" x14ac:dyDescent="0.35">
      <c r="B10505"/>
    </row>
    <row r="10506" spans="2:2" x14ac:dyDescent="0.35">
      <c r="B10506"/>
    </row>
    <row r="10507" spans="2:2" x14ac:dyDescent="0.35">
      <c r="B10507"/>
    </row>
    <row r="10508" spans="2:2" x14ac:dyDescent="0.35">
      <c r="B10508"/>
    </row>
    <row r="10509" spans="2:2" x14ac:dyDescent="0.35">
      <c r="B10509"/>
    </row>
    <row r="10510" spans="2:2" x14ac:dyDescent="0.35">
      <c r="B10510"/>
    </row>
    <row r="10511" spans="2:2" x14ac:dyDescent="0.35">
      <c r="B10511"/>
    </row>
    <row r="10512" spans="2:2" x14ac:dyDescent="0.35">
      <c r="B10512"/>
    </row>
    <row r="10513" spans="1:2" x14ac:dyDescent="0.35">
      <c r="B10513"/>
    </row>
    <row r="10514" spans="1:2" x14ac:dyDescent="0.35">
      <c r="B10514"/>
    </row>
    <row r="10515" spans="1:2" x14ac:dyDescent="0.35">
      <c r="B10515"/>
    </row>
    <row r="10516" spans="1:2" x14ac:dyDescent="0.35">
      <c r="B10516"/>
    </row>
    <row r="10517" spans="1:2" ht="15.5" x14ac:dyDescent="0.35">
      <c r="A10517" s="49"/>
      <c r="B10517" s="49"/>
    </row>
    <row r="10518" spans="1:2" x14ac:dyDescent="0.35">
      <c r="B10518"/>
    </row>
    <row r="10519" spans="1:2" x14ac:dyDescent="0.35">
      <c r="B10519"/>
    </row>
    <row r="10520" spans="1:2" x14ac:dyDescent="0.35">
      <c r="B10520"/>
    </row>
    <row r="10521" spans="1:2" x14ac:dyDescent="0.35">
      <c r="B10521"/>
    </row>
    <row r="10522" spans="1:2" x14ac:dyDescent="0.35">
      <c r="B10522"/>
    </row>
    <row r="10523" spans="1:2" x14ac:dyDescent="0.35">
      <c r="B10523"/>
    </row>
    <row r="10524" spans="1:2" x14ac:dyDescent="0.35">
      <c r="B10524"/>
    </row>
    <row r="10525" spans="1:2" x14ac:dyDescent="0.35">
      <c r="B10525"/>
    </row>
    <row r="10526" spans="1:2" x14ac:dyDescent="0.35">
      <c r="B10526"/>
    </row>
    <row r="10527" spans="1:2" ht="15.5" x14ac:dyDescent="0.35">
      <c r="A10527" s="49"/>
      <c r="B10527"/>
    </row>
    <row r="10528" spans="1:2" x14ac:dyDescent="0.35">
      <c r="B10528"/>
    </row>
    <row r="10529" spans="2:2" x14ac:dyDescent="0.35">
      <c r="B10529"/>
    </row>
    <row r="10530" spans="2:2" x14ac:dyDescent="0.35">
      <c r="B10530"/>
    </row>
    <row r="10531" spans="2:2" x14ac:dyDescent="0.35">
      <c r="B10531"/>
    </row>
    <row r="10532" spans="2:2" x14ac:dyDescent="0.35">
      <c r="B10532"/>
    </row>
    <row r="10533" spans="2:2" x14ac:dyDescent="0.35">
      <c r="B10533"/>
    </row>
    <row r="10534" spans="2:2" x14ac:dyDescent="0.35">
      <c r="B10534"/>
    </row>
    <row r="10535" spans="2:2" x14ac:dyDescent="0.35">
      <c r="B10535"/>
    </row>
    <row r="10536" spans="2:2" x14ac:dyDescent="0.35">
      <c r="B10536"/>
    </row>
    <row r="10537" spans="2:2" x14ac:dyDescent="0.35">
      <c r="B10537"/>
    </row>
    <row r="10538" spans="2:2" x14ac:dyDescent="0.35">
      <c r="B10538"/>
    </row>
    <row r="10539" spans="2:2" x14ac:dyDescent="0.35">
      <c r="B10539"/>
    </row>
    <row r="10540" spans="2:2" x14ac:dyDescent="0.35">
      <c r="B10540"/>
    </row>
    <row r="10541" spans="2:2" x14ac:dyDescent="0.35">
      <c r="B10541"/>
    </row>
    <row r="10542" spans="2:2" x14ac:dyDescent="0.35">
      <c r="B10542"/>
    </row>
    <row r="10543" spans="2:2" x14ac:dyDescent="0.35">
      <c r="B10543"/>
    </row>
    <row r="10544" spans="2:2" x14ac:dyDescent="0.35">
      <c r="B10544"/>
    </row>
    <row r="10545" spans="1:2" x14ac:dyDescent="0.35">
      <c r="B10545"/>
    </row>
    <row r="10546" spans="1:2" x14ac:dyDescent="0.35">
      <c r="B10546"/>
    </row>
    <row r="10547" spans="1:2" x14ac:dyDescent="0.35">
      <c r="B10547"/>
    </row>
    <row r="10548" spans="1:2" x14ac:dyDescent="0.35">
      <c r="B10548"/>
    </row>
    <row r="10549" spans="1:2" x14ac:dyDescent="0.35">
      <c r="B10549"/>
    </row>
    <row r="10550" spans="1:2" x14ac:dyDescent="0.35">
      <c r="B10550"/>
    </row>
    <row r="10551" spans="1:2" ht="15.5" x14ac:dyDescent="0.35">
      <c r="A10551" s="49"/>
      <c r="B10551" s="49"/>
    </row>
    <row r="10552" spans="1:2" x14ac:dyDescent="0.35">
      <c r="B10552"/>
    </row>
    <row r="10553" spans="1:2" x14ac:dyDescent="0.35">
      <c r="B10553"/>
    </row>
    <row r="10554" spans="1:2" x14ac:dyDescent="0.35">
      <c r="B10554"/>
    </row>
    <row r="10555" spans="1:2" x14ac:dyDescent="0.35">
      <c r="B10555"/>
    </row>
    <row r="10556" spans="1:2" x14ac:dyDescent="0.35">
      <c r="B10556"/>
    </row>
    <row r="10557" spans="1:2" x14ac:dyDescent="0.35">
      <c r="B10557"/>
    </row>
    <row r="10558" spans="1:2" x14ac:dyDescent="0.35">
      <c r="B10558"/>
    </row>
    <row r="10559" spans="1:2" x14ac:dyDescent="0.35">
      <c r="B10559"/>
    </row>
    <row r="10560" spans="1:2" x14ac:dyDescent="0.35">
      <c r="B10560"/>
    </row>
    <row r="10561" spans="1:2" ht="15.5" x14ac:dyDescent="0.35">
      <c r="A10561" s="49"/>
      <c r="B10561"/>
    </row>
    <row r="10562" spans="1:2" x14ac:dyDescent="0.35">
      <c r="B10562"/>
    </row>
    <row r="10563" spans="1:2" x14ac:dyDescent="0.35">
      <c r="B10563"/>
    </row>
    <row r="10564" spans="1:2" x14ac:dyDescent="0.35">
      <c r="B10564"/>
    </row>
    <row r="10565" spans="1:2" x14ac:dyDescent="0.35">
      <c r="B10565"/>
    </row>
    <row r="10566" spans="1:2" x14ac:dyDescent="0.35">
      <c r="B10566"/>
    </row>
    <row r="10567" spans="1:2" x14ac:dyDescent="0.35">
      <c r="B10567"/>
    </row>
    <row r="10568" spans="1:2" x14ac:dyDescent="0.35">
      <c r="B10568"/>
    </row>
    <row r="10569" spans="1:2" x14ac:dyDescent="0.35">
      <c r="B10569"/>
    </row>
    <row r="10570" spans="1:2" x14ac:dyDescent="0.35">
      <c r="B10570"/>
    </row>
    <row r="10571" spans="1:2" x14ac:dyDescent="0.35">
      <c r="B10571"/>
    </row>
    <row r="10572" spans="1:2" x14ac:dyDescent="0.35">
      <c r="B10572"/>
    </row>
    <row r="10573" spans="1:2" x14ac:dyDescent="0.35">
      <c r="B10573"/>
    </row>
    <row r="10574" spans="1:2" x14ac:dyDescent="0.35">
      <c r="B10574"/>
    </row>
    <row r="10575" spans="1:2" x14ac:dyDescent="0.35">
      <c r="B10575"/>
    </row>
    <row r="10576" spans="1:2" x14ac:dyDescent="0.35">
      <c r="B10576"/>
    </row>
    <row r="10577" spans="1:2" x14ac:dyDescent="0.35">
      <c r="B10577"/>
    </row>
    <row r="10578" spans="1:2" x14ac:dyDescent="0.35">
      <c r="B10578"/>
    </row>
    <row r="10579" spans="1:2" x14ac:dyDescent="0.35">
      <c r="B10579"/>
    </row>
    <row r="10580" spans="1:2" x14ac:dyDescent="0.35">
      <c r="B10580"/>
    </row>
    <row r="10581" spans="1:2" x14ac:dyDescent="0.35">
      <c r="B10581"/>
    </row>
    <row r="10582" spans="1:2" x14ac:dyDescent="0.35">
      <c r="B10582"/>
    </row>
    <row r="10583" spans="1:2" x14ac:dyDescent="0.35">
      <c r="B10583"/>
    </row>
    <row r="10584" spans="1:2" x14ac:dyDescent="0.35">
      <c r="B10584"/>
    </row>
    <row r="10585" spans="1:2" ht="15.5" x14ac:dyDescent="0.35">
      <c r="A10585" s="49"/>
      <c r="B10585" s="49"/>
    </row>
    <row r="10586" spans="1:2" x14ac:dyDescent="0.35">
      <c r="B10586"/>
    </row>
    <row r="10587" spans="1:2" x14ac:dyDescent="0.35">
      <c r="B10587"/>
    </row>
    <row r="10588" spans="1:2" x14ac:dyDescent="0.35">
      <c r="B10588"/>
    </row>
    <row r="10589" spans="1:2" x14ac:dyDescent="0.35">
      <c r="B10589"/>
    </row>
    <row r="10590" spans="1:2" x14ac:dyDescent="0.35">
      <c r="B10590"/>
    </row>
    <row r="10591" spans="1:2" x14ac:dyDescent="0.35">
      <c r="B10591"/>
    </row>
    <row r="10592" spans="1:2" x14ac:dyDescent="0.35">
      <c r="B10592"/>
    </row>
    <row r="10593" spans="1:2" x14ac:dyDescent="0.35">
      <c r="B10593"/>
    </row>
    <row r="10594" spans="1:2" x14ac:dyDescent="0.35">
      <c r="B10594"/>
    </row>
    <row r="10595" spans="1:2" ht="15.5" x14ac:dyDescent="0.35">
      <c r="A10595" s="49"/>
      <c r="B10595"/>
    </row>
    <row r="10596" spans="1:2" x14ac:dyDescent="0.35">
      <c r="B10596"/>
    </row>
    <row r="10597" spans="1:2" x14ac:dyDescent="0.35">
      <c r="B10597"/>
    </row>
    <row r="10598" spans="1:2" x14ac:dyDescent="0.35">
      <c r="B10598"/>
    </row>
    <row r="10599" spans="1:2" x14ac:dyDescent="0.35">
      <c r="B10599"/>
    </row>
    <row r="10600" spans="1:2" x14ac:dyDescent="0.35">
      <c r="B10600"/>
    </row>
    <row r="10601" spans="1:2" x14ac:dyDescent="0.35">
      <c r="B10601"/>
    </row>
    <row r="10602" spans="1:2" x14ac:dyDescent="0.35">
      <c r="B10602"/>
    </row>
    <row r="10603" spans="1:2" x14ac:dyDescent="0.35">
      <c r="B10603"/>
    </row>
    <row r="10604" spans="1:2" x14ac:dyDescent="0.35">
      <c r="B10604"/>
    </row>
    <row r="10605" spans="1:2" x14ac:dyDescent="0.35">
      <c r="B10605"/>
    </row>
    <row r="10606" spans="1:2" x14ac:dyDescent="0.35">
      <c r="B10606"/>
    </row>
    <row r="10607" spans="1:2" x14ac:dyDescent="0.35">
      <c r="B10607"/>
    </row>
    <row r="10608" spans="1:2" x14ac:dyDescent="0.35">
      <c r="B10608"/>
    </row>
    <row r="10609" spans="1:2" x14ac:dyDescent="0.35">
      <c r="B10609"/>
    </row>
    <row r="10610" spans="1:2" x14ac:dyDescent="0.35">
      <c r="B10610"/>
    </row>
    <row r="10611" spans="1:2" x14ac:dyDescent="0.35">
      <c r="B10611"/>
    </row>
    <row r="10612" spans="1:2" x14ac:dyDescent="0.35">
      <c r="B10612"/>
    </row>
    <row r="10613" spans="1:2" x14ac:dyDescent="0.35">
      <c r="B10613"/>
    </row>
    <row r="10614" spans="1:2" x14ac:dyDescent="0.35">
      <c r="B10614"/>
    </row>
    <row r="10615" spans="1:2" x14ac:dyDescent="0.35">
      <c r="B10615"/>
    </row>
    <row r="10616" spans="1:2" x14ac:dyDescent="0.35">
      <c r="B10616"/>
    </row>
    <row r="10617" spans="1:2" x14ac:dyDescent="0.35">
      <c r="B10617"/>
    </row>
    <row r="10618" spans="1:2" x14ac:dyDescent="0.35">
      <c r="B10618"/>
    </row>
    <row r="10619" spans="1:2" ht="15.5" x14ac:dyDescent="0.35">
      <c r="A10619" s="49"/>
      <c r="B10619" s="49"/>
    </row>
    <row r="10620" spans="1:2" x14ac:dyDescent="0.35">
      <c r="B10620"/>
    </row>
    <row r="10621" spans="1:2" x14ac:dyDescent="0.35">
      <c r="B10621"/>
    </row>
    <row r="10622" spans="1:2" x14ac:dyDescent="0.35">
      <c r="B10622"/>
    </row>
    <row r="10623" spans="1:2" x14ac:dyDescent="0.35">
      <c r="B10623"/>
    </row>
    <row r="10624" spans="1:2" x14ac:dyDescent="0.35">
      <c r="B10624"/>
    </row>
    <row r="10625" spans="1:2" x14ac:dyDescent="0.35">
      <c r="B10625"/>
    </row>
    <row r="10626" spans="1:2" x14ac:dyDescent="0.35">
      <c r="B10626"/>
    </row>
    <row r="10627" spans="1:2" x14ac:dyDescent="0.35">
      <c r="B10627"/>
    </row>
    <row r="10628" spans="1:2" x14ac:dyDescent="0.35">
      <c r="B10628"/>
    </row>
    <row r="10629" spans="1:2" ht="15.5" x14ac:dyDescent="0.35">
      <c r="A10629" s="49"/>
      <c r="B10629"/>
    </row>
    <row r="10630" spans="1:2" x14ac:dyDescent="0.35">
      <c r="B10630"/>
    </row>
    <row r="10631" spans="1:2" x14ac:dyDescent="0.35">
      <c r="B10631"/>
    </row>
    <row r="10632" spans="1:2" x14ac:dyDescent="0.35">
      <c r="B10632"/>
    </row>
    <row r="10633" spans="1:2" x14ac:dyDescent="0.35">
      <c r="B10633"/>
    </row>
    <row r="10634" spans="1:2" x14ac:dyDescent="0.35">
      <c r="B10634"/>
    </row>
    <row r="10635" spans="1:2" x14ac:dyDescent="0.35">
      <c r="B10635"/>
    </row>
    <row r="10636" spans="1:2" x14ac:dyDescent="0.35">
      <c r="B10636"/>
    </row>
    <row r="10637" spans="1:2" x14ac:dyDescent="0.35">
      <c r="B10637"/>
    </row>
    <row r="10638" spans="1:2" x14ac:dyDescent="0.35">
      <c r="B10638"/>
    </row>
    <row r="10639" spans="1:2" x14ac:dyDescent="0.35">
      <c r="B10639"/>
    </row>
    <row r="10640" spans="1:2" x14ac:dyDescent="0.35">
      <c r="B10640"/>
    </row>
    <row r="10641" spans="1:2" x14ac:dyDescent="0.35">
      <c r="B10641"/>
    </row>
    <row r="10642" spans="1:2" x14ac:dyDescent="0.35">
      <c r="B10642"/>
    </row>
    <row r="10643" spans="1:2" x14ac:dyDescent="0.35">
      <c r="B10643"/>
    </row>
    <row r="10644" spans="1:2" x14ac:dyDescent="0.35">
      <c r="B10644"/>
    </row>
    <row r="10645" spans="1:2" x14ac:dyDescent="0.35">
      <c r="B10645"/>
    </row>
    <row r="10646" spans="1:2" x14ac:dyDescent="0.35">
      <c r="B10646"/>
    </row>
    <row r="10647" spans="1:2" x14ac:dyDescent="0.35">
      <c r="B10647"/>
    </row>
    <row r="10648" spans="1:2" x14ac:dyDescent="0.35">
      <c r="B10648"/>
    </row>
    <row r="10649" spans="1:2" x14ac:dyDescent="0.35">
      <c r="B10649"/>
    </row>
    <row r="10650" spans="1:2" x14ac:dyDescent="0.35">
      <c r="B10650"/>
    </row>
    <row r="10651" spans="1:2" x14ac:dyDescent="0.35">
      <c r="B10651"/>
    </row>
    <row r="10652" spans="1:2" x14ac:dyDescent="0.35">
      <c r="B10652"/>
    </row>
    <row r="10653" spans="1:2" ht="15.5" x14ac:dyDescent="0.35">
      <c r="A10653" s="49"/>
      <c r="B10653" s="49"/>
    </row>
    <row r="10654" spans="1:2" x14ac:dyDescent="0.35">
      <c r="B10654"/>
    </row>
    <row r="10655" spans="1:2" x14ac:dyDescent="0.35">
      <c r="B10655"/>
    </row>
    <row r="10656" spans="1:2" x14ac:dyDescent="0.35">
      <c r="B10656"/>
    </row>
    <row r="10657" spans="1:2" x14ac:dyDescent="0.35">
      <c r="B10657"/>
    </row>
    <row r="10658" spans="1:2" x14ac:dyDescent="0.35">
      <c r="B10658"/>
    </row>
    <row r="10659" spans="1:2" x14ac:dyDescent="0.35">
      <c r="B10659"/>
    </row>
    <row r="10660" spans="1:2" x14ac:dyDescent="0.35">
      <c r="B10660"/>
    </row>
    <row r="10661" spans="1:2" x14ac:dyDescent="0.35">
      <c r="B10661"/>
    </row>
    <row r="10662" spans="1:2" x14ac:dyDescent="0.35">
      <c r="B10662"/>
    </row>
    <row r="10663" spans="1:2" ht="15.5" x14ac:dyDescent="0.35">
      <c r="A10663" s="49"/>
      <c r="B10663"/>
    </row>
    <row r="10664" spans="1:2" x14ac:dyDescent="0.35">
      <c r="B10664"/>
    </row>
    <row r="10665" spans="1:2" x14ac:dyDescent="0.35">
      <c r="B10665"/>
    </row>
    <row r="10666" spans="1:2" x14ac:dyDescent="0.35">
      <c r="B10666"/>
    </row>
    <row r="10667" spans="1:2" x14ac:dyDescent="0.35">
      <c r="B10667"/>
    </row>
    <row r="10668" spans="1:2" x14ac:dyDescent="0.35">
      <c r="B10668"/>
    </row>
    <row r="10669" spans="1:2" x14ac:dyDescent="0.35">
      <c r="B10669"/>
    </row>
    <row r="10670" spans="1:2" x14ac:dyDescent="0.35">
      <c r="B10670"/>
    </row>
    <row r="10671" spans="1:2" x14ac:dyDescent="0.35">
      <c r="B10671"/>
    </row>
    <row r="10672" spans="1:2" x14ac:dyDescent="0.35">
      <c r="B10672"/>
    </row>
    <row r="10673" spans="1:2" x14ac:dyDescent="0.35">
      <c r="B10673"/>
    </row>
    <row r="10674" spans="1:2" x14ac:dyDescent="0.35">
      <c r="B10674"/>
    </row>
    <row r="10675" spans="1:2" x14ac:dyDescent="0.35">
      <c r="B10675"/>
    </row>
    <row r="10676" spans="1:2" x14ac:dyDescent="0.35">
      <c r="B10676"/>
    </row>
    <row r="10677" spans="1:2" x14ac:dyDescent="0.35">
      <c r="B10677"/>
    </row>
    <row r="10678" spans="1:2" x14ac:dyDescent="0.35">
      <c r="B10678"/>
    </row>
    <row r="10679" spans="1:2" x14ac:dyDescent="0.35">
      <c r="B10679"/>
    </row>
    <row r="10680" spans="1:2" x14ac:dyDescent="0.35">
      <c r="B10680"/>
    </row>
    <row r="10681" spans="1:2" x14ac:dyDescent="0.35">
      <c r="B10681"/>
    </row>
    <row r="10682" spans="1:2" x14ac:dyDescent="0.35">
      <c r="B10682"/>
    </row>
    <row r="10683" spans="1:2" x14ac:dyDescent="0.35">
      <c r="B10683"/>
    </row>
    <row r="10684" spans="1:2" x14ac:dyDescent="0.35">
      <c r="B10684"/>
    </row>
    <row r="10685" spans="1:2" x14ac:dyDescent="0.35">
      <c r="B10685"/>
    </row>
    <row r="10686" spans="1:2" x14ac:dyDescent="0.35">
      <c r="B10686"/>
    </row>
    <row r="10687" spans="1:2" ht="15.5" x14ac:dyDescent="0.35">
      <c r="A10687" s="49"/>
      <c r="B10687" s="49"/>
    </row>
    <row r="10688" spans="1:2" x14ac:dyDescent="0.35">
      <c r="B10688"/>
    </row>
    <row r="10689" spans="1:2" x14ac:dyDescent="0.35">
      <c r="B10689"/>
    </row>
    <row r="10690" spans="1:2" x14ac:dyDescent="0.35">
      <c r="B10690"/>
    </row>
    <row r="10691" spans="1:2" x14ac:dyDescent="0.35">
      <c r="B10691"/>
    </row>
    <row r="10692" spans="1:2" x14ac:dyDescent="0.35">
      <c r="B10692"/>
    </row>
    <row r="10693" spans="1:2" x14ac:dyDescent="0.35">
      <c r="B10693"/>
    </row>
    <row r="10694" spans="1:2" x14ac:dyDescent="0.35">
      <c r="B10694"/>
    </row>
    <row r="10695" spans="1:2" x14ac:dyDescent="0.35">
      <c r="B10695"/>
    </row>
    <row r="10696" spans="1:2" x14ac:dyDescent="0.35">
      <c r="B10696"/>
    </row>
    <row r="10697" spans="1:2" ht="15.5" x14ac:dyDescent="0.35">
      <c r="A10697" s="49"/>
      <c r="B10697"/>
    </row>
    <row r="10698" spans="1:2" x14ac:dyDescent="0.35">
      <c r="B10698"/>
    </row>
    <row r="10699" spans="1:2" x14ac:dyDescent="0.35">
      <c r="B10699"/>
    </row>
    <row r="10700" spans="1:2" x14ac:dyDescent="0.35">
      <c r="B10700"/>
    </row>
    <row r="10701" spans="1:2" x14ac:dyDescent="0.35">
      <c r="B10701"/>
    </row>
    <row r="10702" spans="1:2" x14ac:dyDescent="0.35">
      <c r="B10702"/>
    </row>
    <row r="10703" spans="1:2" x14ac:dyDescent="0.35">
      <c r="B10703"/>
    </row>
    <row r="10704" spans="1:2" x14ac:dyDescent="0.35">
      <c r="B10704"/>
    </row>
    <row r="10705" spans="2:2" x14ac:dyDescent="0.35">
      <c r="B10705"/>
    </row>
    <row r="10706" spans="2:2" x14ac:dyDescent="0.35">
      <c r="B10706"/>
    </row>
    <row r="10707" spans="2:2" x14ac:dyDescent="0.35">
      <c r="B10707"/>
    </row>
    <row r="10708" spans="2:2" x14ac:dyDescent="0.35">
      <c r="B10708"/>
    </row>
    <row r="10709" spans="2:2" x14ac:dyDescent="0.35">
      <c r="B10709"/>
    </row>
    <row r="10710" spans="2:2" x14ac:dyDescent="0.35">
      <c r="B10710"/>
    </row>
    <row r="10711" spans="2:2" x14ac:dyDescent="0.35">
      <c r="B10711"/>
    </row>
    <row r="10712" spans="2:2" x14ac:dyDescent="0.35">
      <c r="B10712"/>
    </row>
    <row r="10713" spans="2:2" x14ac:dyDescent="0.35">
      <c r="B10713"/>
    </row>
    <row r="10714" spans="2:2" x14ac:dyDescent="0.35">
      <c r="B10714"/>
    </row>
    <row r="10715" spans="2:2" x14ac:dyDescent="0.35">
      <c r="B10715"/>
    </row>
    <row r="10716" spans="2:2" x14ac:dyDescent="0.35">
      <c r="B10716"/>
    </row>
    <row r="10717" spans="2:2" x14ac:dyDescent="0.35">
      <c r="B10717"/>
    </row>
    <row r="10718" spans="2:2" x14ac:dyDescent="0.35">
      <c r="B10718"/>
    </row>
    <row r="10719" spans="2:2" x14ac:dyDescent="0.35">
      <c r="B10719"/>
    </row>
    <row r="10720" spans="2:2" x14ac:dyDescent="0.35">
      <c r="B10720"/>
    </row>
    <row r="10721" spans="1:2" ht="15.5" x14ac:dyDescent="0.35">
      <c r="A10721" s="49"/>
      <c r="B10721" s="49"/>
    </row>
    <row r="10722" spans="1:2" x14ac:dyDescent="0.35">
      <c r="B10722"/>
    </row>
    <row r="10723" spans="1:2" x14ac:dyDescent="0.35">
      <c r="B10723"/>
    </row>
    <row r="10724" spans="1:2" x14ac:dyDescent="0.35">
      <c r="B10724"/>
    </row>
    <row r="10725" spans="1:2" x14ac:dyDescent="0.35">
      <c r="B10725"/>
    </row>
    <row r="10726" spans="1:2" x14ac:dyDescent="0.35">
      <c r="B10726"/>
    </row>
    <row r="10727" spans="1:2" x14ac:dyDescent="0.35">
      <c r="B10727"/>
    </row>
    <row r="10728" spans="1:2" x14ac:dyDescent="0.35">
      <c r="B10728"/>
    </row>
    <row r="10729" spans="1:2" x14ac:dyDescent="0.35">
      <c r="B10729"/>
    </row>
    <row r="10730" spans="1:2" x14ac:dyDescent="0.35">
      <c r="B10730"/>
    </row>
    <row r="10731" spans="1:2" ht="15.5" x14ac:dyDescent="0.35">
      <c r="A10731" s="49"/>
      <c r="B10731"/>
    </row>
    <row r="10732" spans="1:2" x14ac:dyDescent="0.35">
      <c r="B10732"/>
    </row>
    <row r="10733" spans="1:2" x14ac:dyDescent="0.35">
      <c r="B10733"/>
    </row>
    <row r="10734" spans="1:2" x14ac:dyDescent="0.35">
      <c r="B10734"/>
    </row>
    <row r="10735" spans="1:2" x14ac:dyDescent="0.35">
      <c r="B10735"/>
    </row>
    <row r="10736" spans="1:2" x14ac:dyDescent="0.35">
      <c r="B10736"/>
    </row>
    <row r="10737" spans="2:2" x14ac:dyDescent="0.35">
      <c r="B10737"/>
    </row>
    <row r="10738" spans="2:2" x14ac:dyDescent="0.35">
      <c r="B10738"/>
    </row>
    <row r="10739" spans="2:2" x14ac:dyDescent="0.35">
      <c r="B10739"/>
    </row>
    <row r="10740" spans="2:2" x14ac:dyDescent="0.35">
      <c r="B10740"/>
    </row>
    <row r="10741" spans="2:2" x14ac:dyDescent="0.35">
      <c r="B10741"/>
    </row>
    <row r="10742" spans="2:2" x14ac:dyDescent="0.35">
      <c r="B10742"/>
    </row>
    <row r="10743" spans="2:2" x14ac:dyDescent="0.35">
      <c r="B10743"/>
    </row>
    <row r="10744" spans="2:2" x14ac:dyDescent="0.35">
      <c r="B10744"/>
    </row>
    <row r="10745" spans="2:2" x14ac:dyDescent="0.35">
      <c r="B10745"/>
    </row>
    <row r="10746" spans="2:2" x14ac:dyDescent="0.35">
      <c r="B10746"/>
    </row>
    <row r="10747" spans="2:2" x14ac:dyDescent="0.35">
      <c r="B10747"/>
    </row>
    <row r="10748" spans="2:2" x14ac:dyDescent="0.35">
      <c r="B10748"/>
    </row>
    <row r="10749" spans="2:2" x14ac:dyDescent="0.35">
      <c r="B10749"/>
    </row>
    <row r="10750" spans="2:2" x14ac:dyDescent="0.35">
      <c r="B10750"/>
    </row>
    <row r="10751" spans="2:2" x14ac:dyDescent="0.35">
      <c r="B10751"/>
    </row>
    <row r="10752" spans="2:2" x14ac:dyDescent="0.35">
      <c r="B10752"/>
    </row>
    <row r="10753" spans="1:2" x14ac:dyDescent="0.35">
      <c r="B10753"/>
    </row>
    <row r="10754" spans="1:2" x14ac:dyDescent="0.35">
      <c r="B10754"/>
    </row>
    <row r="10755" spans="1:2" ht="15.5" x14ac:dyDescent="0.35">
      <c r="A10755" s="49"/>
      <c r="B10755" s="49"/>
    </row>
    <row r="10756" spans="1:2" x14ac:dyDescent="0.35">
      <c r="B10756"/>
    </row>
    <row r="10757" spans="1:2" x14ac:dyDescent="0.35">
      <c r="B10757"/>
    </row>
    <row r="10758" spans="1:2" x14ac:dyDescent="0.35">
      <c r="B10758"/>
    </row>
    <row r="10759" spans="1:2" x14ac:dyDescent="0.35">
      <c r="B10759"/>
    </row>
    <row r="10760" spans="1:2" x14ac:dyDescent="0.35">
      <c r="B10760"/>
    </row>
    <row r="10761" spans="1:2" x14ac:dyDescent="0.35">
      <c r="B10761"/>
    </row>
    <row r="10762" spans="1:2" x14ac:dyDescent="0.35">
      <c r="B10762"/>
    </row>
    <row r="10763" spans="1:2" x14ac:dyDescent="0.35">
      <c r="B10763"/>
    </row>
    <row r="10764" spans="1:2" x14ac:dyDescent="0.35">
      <c r="B10764"/>
    </row>
    <row r="10765" spans="1:2" ht="15.5" x14ac:dyDescent="0.35">
      <c r="A10765" s="49"/>
      <c r="B10765"/>
    </row>
    <row r="10766" spans="1:2" x14ac:dyDescent="0.35">
      <c r="B10766"/>
    </row>
    <row r="10767" spans="1:2" x14ac:dyDescent="0.35">
      <c r="B10767"/>
    </row>
    <row r="10768" spans="1:2" x14ac:dyDescent="0.35">
      <c r="B10768"/>
    </row>
    <row r="10769" spans="2:2" x14ac:dyDescent="0.35">
      <c r="B10769"/>
    </row>
    <row r="10770" spans="2:2" x14ac:dyDescent="0.35">
      <c r="B10770"/>
    </row>
    <row r="10771" spans="2:2" x14ac:dyDescent="0.35">
      <c r="B10771"/>
    </row>
    <row r="10772" spans="2:2" x14ac:dyDescent="0.35">
      <c r="B10772"/>
    </row>
    <row r="10773" spans="2:2" x14ac:dyDescent="0.35">
      <c r="B10773"/>
    </row>
    <row r="10774" spans="2:2" x14ac:dyDescent="0.35">
      <c r="B10774"/>
    </row>
    <row r="10775" spans="2:2" x14ac:dyDescent="0.35">
      <c r="B10775"/>
    </row>
    <row r="10776" spans="2:2" x14ac:dyDescent="0.35">
      <c r="B10776"/>
    </row>
    <row r="10777" spans="2:2" x14ac:dyDescent="0.35">
      <c r="B10777"/>
    </row>
    <row r="10778" spans="2:2" x14ac:dyDescent="0.35">
      <c r="B10778"/>
    </row>
    <row r="10779" spans="2:2" x14ac:dyDescent="0.35">
      <c r="B10779"/>
    </row>
    <row r="10780" spans="2:2" x14ac:dyDescent="0.35">
      <c r="B10780"/>
    </row>
    <row r="10781" spans="2:2" x14ac:dyDescent="0.35">
      <c r="B10781"/>
    </row>
    <row r="10782" spans="2:2" x14ac:dyDescent="0.35">
      <c r="B10782"/>
    </row>
    <row r="10783" spans="2:2" x14ac:dyDescent="0.35">
      <c r="B10783"/>
    </row>
    <row r="10784" spans="2:2" x14ac:dyDescent="0.35">
      <c r="B10784"/>
    </row>
    <row r="10785" spans="1:2" x14ac:dyDescent="0.35">
      <c r="B10785"/>
    </row>
    <row r="10786" spans="1:2" x14ac:dyDescent="0.35">
      <c r="B10786"/>
    </row>
    <row r="10787" spans="1:2" x14ac:dyDescent="0.35">
      <c r="B10787"/>
    </row>
    <row r="10788" spans="1:2" x14ac:dyDescent="0.35">
      <c r="B10788"/>
    </row>
    <row r="10789" spans="1:2" ht="15.5" x14ac:dyDescent="0.35">
      <c r="A10789" s="49"/>
      <c r="B10789" s="49"/>
    </row>
    <row r="10790" spans="1:2" x14ac:dyDescent="0.35">
      <c r="B10790"/>
    </row>
    <row r="10791" spans="1:2" x14ac:dyDescent="0.35">
      <c r="B10791"/>
    </row>
    <row r="10792" spans="1:2" x14ac:dyDescent="0.35">
      <c r="B10792"/>
    </row>
    <row r="10793" spans="1:2" x14ac:dyDescent="0.35">
      <c r="B10793"/>
    </row>
    <row r="10794" spans="1:2" x14ac:dyDescent="0.35">
      <c r="B10794"/>
    </row>
    <row r="10795" spans="1:2" x14ac:dyDescent="0.35">
      <c r="B10795"/>
    </row>
    <row r="10796" spans="1:2" x14ac:dyDescent="0.35">
      <c r="B10796"/>
    </row>
    <row r="10797" spans="1:2" x14ac:dyDescent="0.35">
      <c r="B10797"/>
    </row>
    <row r="10798" spans="1:2" x14ac:dyDescent="0.35">
      <c r="B10798"/>
    </row>
    <row r="10799" spans="1:2" ht="15.5" x14ac:dyDescent="0.35">
      <c r="A10799" s="49"/>
      <c r="B10799"/>
    </row>
    <row r="10800" spans="1:2" x14ac:dyDescent="0.35">
      <c r="B10800"/>
    </row>
    <row r="10801" spans="2:2" x14ac:dyDescent="0.35">
      <c r="B10801"/>
    </row>
    <row r="10802" spans="2:2" x14ac:dyDescent="0.35">
      <c r="B10802"/>
    </row>
    <row r="10803" spans="2:2" x14ac:dyDescent="0.35">
      <c r="B10803"/>
    </row>
    <row r="10804" spans="2:2" x14ac:dyDescent="0.35">
      <c r="B10804"/>
    </row>
    <row r="10805" spans="2:2" x14ac:dyDescent="0.35">
      <c r="B10805"/>
    </row>
    <row r="10806" spans="2:2" x14ac:dyDescent="0.35">
      <c r="B10806"/>
    </row>
    <row r="10807" spans="2:2" x14ac:dyDescent="0.35">
      <c r="B10807"/>
    </row>
    <row r="10808" spans="2:2" x14ac:dyDescent="0.35">
      <c r="B10808"/>
    </row>
    <row r="10809" spans="2:2" x14ac:dyDescent="0.35">
      <c r="B10809"/>
    </row>
    <row r="10810" spans="2:2" x14ac:dyDescent="0.35">
      <c r="B10810"/>
    </row>
    <row r="10811" spans="2:2" x14ac:dyDescent="0.35">
      <c r="B10811"/>
    </row>
    <row r="10812" spans="2:2" x14ac:dyDescent="0.35">
      <c r="B10812"/>
    </row>
    <row r="10813" spans="2:2" x14ac:dyDescent="0.35">
      <c r="B10813"/>
    </row>
    <row r="10814" spans="2:2" x14ac:dyDescent="0.35">
      <c r="B10814"/>
    </row>
    <row r="10815" spans="2:2" x14ac:dyDescent="0.35">
      <c r="B10815"/>
    </row>
    <row r="10816" spans="2:2" x14ac:dyDescent="0.35">
      <c r="B10816"/>
    </row>
    <row r="10817" spans="1:2" x14ac:dyDescent="0.35">
      <c r="B10817"/>
    </row>
    <row r="10818" spans="1:2" x14ac:dyDescent="0.35">
      <c r="B10818"/>
    </row>
    <row r="10819" spans="1:2" x14ac:dyDescent="0.35">
      <c r="B10819"/>
    </row>
    <row r="10820" spans="1:2" x14ac:dyDescent="0.35">
      <c r="B10820"/>
    </row>
    <row r="10821" spans="1:2" x14ac:dyDescent="0.35">
      <c r="B10821"/>
    </row>
    <row r="10822" spans="1:2" x14ac:dyDescent="0.35">
      <c r="B10822"/>
    </row>
    <row r="10823" spans="1:2" ht="15.5" x14ac:dyDescent="0.35">
      <c r="A10823" s="49"/>
      <c r="B10823" s="49"/>
    </row>
    <row r="10824" spans="1:2" x14ac:dyDescent="0.35">
      <c r="B10824"/>
    </row>
    <row r="10825" spans="1:2" x14ac:dyDescent="0.35">
      <c r="B10825"/>
    </row>
    <row r="10826" spans="1:2" x14ac:dyDescent="0.35">
      <c r="B10826"/>
    </row>
    <row r="10827" spans="1:2" x14ac:dyDescent="0.35">
      <c r="B10827"/>
    </row>
    <row r="10828" spans="1:2" x14ac:dyDescent="0.35">
      <c r="B10828"/>
    </row>
    <row r="10829" spans="1:2" x14ac:dyDescent="0.35">
      <c r="B10829"/>
    </row>
    <row r="10830" spans="1:2" x14ac:dyDescent="0.35">
      <c r="B10830"/>
    </row>
    <row r="10831" spans="1:2" x14ac:dyDescent="0.35">
      <c r="B10831"/>
    </row>
    <row r="10832" spans="1:2" x14ac:dyDescent="0.35">
      <c r="B10832"/>
    </row>
    <row r="10833" spans="1:2" ht="15.5" x14ac:dyDescent="0.35">
      <c r="A10833" s="49"/>
      <c r="B10833"/>
    </row>
    <row r="10834" spans="1:2" x14ac:dyDescent="0.35">
      <c r="B10834"/>
    </row>
    <row r="10835" spans="1:2" x14ac:dyDescent="0.35">
      <c r="B10835"/>
    </row>
    <row r="10836" spans="1:2" x14ac:dyDescent="0.35">
      <c r="B10836"/>
    </row>
    <row r="10837" spans="1:2" x14ac:dyDescent="0.35">
      <c r="B10837"/>
    </row>
    <row r="10838" spans="1:2" x14ac:dyDescent="0.35">
      <c r="B10838"/>
    </row>
    <row r="10839" spans="1:2" x14ac:dyDescent="0.35">
      <c r="B10839"/>
    </row>
    <row r="10840" spans="1:2" x14ac:dyDescent="0.35">
      <c r="B10840"/>
    </row>
    <row r="10841" spans="1:2" x14ac:dyDescent="0.35">
      <c r="B10841"/>
    </row>
    <row r="10842" spans="1:2" x14ac:dyDescent="0.35">
      <c r="B10842"/>
    </row>
    <row r="10843" spans="1:2" x14ac:dyDescent="0.35">
      <c r="B10843"/>
    </row>
    <row r="10844" spans="1:2" x14ac:dyDescent="0.35">
      <c r="B10844"/>
    </row>
    <row r="10845" spans="1:2" x14ac:dyDescent="0.35">
      <c r="B10845"/>
    </row>
    <row r="10846" spans="1:2" x14ac:dyDescent="0.35">
      <c r="B10846"/>
    </row>
    <row r="10847" spans="1:2" x14ac:dyDescent="0.35">
      <c r="B10847"/>
    </row>
    <row r="10848" spans="1:2" x14ac:dyDescent="0.35">
      <c r="B10848"/>
    </row>
    <row r="10849" spans="1:2" x14ac:dyDescent="0.35">
      <c r="B10849"/>
    </row>
    <row r="10850" spans="1:2" x14ac:dyDescent="0.35">
      <c r="B10850"/>
    </row>
    <row r="10851" spans="1:2" x14ac:dyDescent="0.35">
      <c r="B10851"/>
    </row>
    <row r="10852" spans="1:2" x14ac:dyDescent="0.35">
      <c r="B10852"/>
    </row>
    <row r="10853" spans="1:2" x14ac:dyDescent="0.35">
      <c r="B10853"/>
    </row>
    <row r="10854" spans="1:2" x14ac:dyDescent="0.35">
      <c r="B10854"/>
    </row>
    <row r="10855" spans="1:2" x14ac:dyDescent="0.35">
      <c r="B10855"/>
    </row>
    <row r="10856" spans="1:2" x14ac:dyDescent="0.35">
      <c r="B10856"/>
    </row>
    <row r="10857" spans="1:2" ht="15.5" x14ac:dyDescent="0.35">
      <c r="A10857" s="49"/>
      <c r="B10857" s="49"/>
    </row>
    <row r="10858" spans="1:2" x14ac:dyDescent="0.35">
      <c r="B10858"/>
    </row>
    <row r="10859" spans="1:2" x14ac:dyDescent="0.35">
      <c r="B10859"/>
    </row>
    <row r="10860" spans="1:2" x14ac:dyDescent="0.35">
      <c r="B10860"/>
    </row>
    <row r="10861" spans="1:2" x14ac:dyDescent="0.35">
      <c r="B10861"/>
    </row>
    <row r="10862" spans="1:2" x14ac:dyDescent="0.35">
      <c r="B10862"/>
    </row>
    <row r="10863" spans="1:2" x14ac:dyDescent="0.35">
      <c r="B10863"/>
    </row>
    <row r="10864" spans="1:2" x14ac:dyDescent="0.35">
      <c r="B10864"/>
    </row>
    <row r="10865" spans="1:2" x14ac:dyDescent="0.35">
      <c r="B10865"/>
    </row>
    <row r="10866" spans="1:2" x14ac:dyDescent="0.35">
      <c r="B10866"/>
    </row>
    <row r="10867" spans="1:2" ht="15.5" x14ac:dyDescent="0.35">
      <c r="A10867" s="49"/>
      <c r="B10867"/>
    </row>
    <row r="10868" spans="1:2" x14ac:dyDescent="0.35">
      <c r="B10868"/>
    </row>
    <row r="10869" spans="1:2" x14ac:dyDescent="0.35">
      <c r="B10869"/>
    </row>
    <row r="10870" spans="1:2" x14ac:dyDescent="0.35">
      <c r="B10870"/>
    </row>
    <row r="10871" spans="1:2" x14ac:dyDescent="0.35">
      <c r="B10871"/>
    </row>
    <row r="10872" spans="1:2" x14ac:dyDescent="0.35">
      <c r="B10872"/>
    </row>
    <row r="10873" spans="1:2" x14ac:dyDescent="0.35">
      <c r="B10873"/>
    </row>
    <row r="10874" spans="1:2" x14ac:dyDescent="0.35">
      <c r="B10874"/>
    </row>
    <row r="10875" spans="1:2" x14ac:dyDescent="0.35">
      <c r="B10875"/>
    </row>
    <row r="10876" spans="1:2" x14ac:dyDescent="0.35">
      <c r="B10876"/>
    </row>
    <row r="10877" spans="1:2" x14ac:dyDescent="0.35">
      <c r="B10877"/>
    </row>
    <row r="10878" spans="1:2" x14ac:dyDescent="0.35">
      <c r="B10878"/>
    </row>
    <row r="10879" spans="1:2" x14ac:dyDescent="0.35">
      <c r="B10879"/>
    </row>
    <row r="10880" spans="1:2" x14ac:dyDescent="0.35">
      <c r="B10880"/>
    </row>
    <row r="10881" spans="1:2" x14ac:dyDescent="0.35">
      <c r="B10881"/>
    </row>
    <row r="10882" spans="1:2" x14ac:dyDescent="0.35">
      <c r="B10882"/>
    </row>
    <row r="10883" spans="1:2" x14ac:dyDescent="0.35">
      <c r="B10883"/>
    </row>
    <row r="10884" spans="1:2" x14ac:dyDescent="0.35">
      <c r="B10884"/>
    </row>
    <row r="10885" spans="1:2" x14ac:dyDescent="0.35">
      <c r="B10885"/>
    </row>
    <row r="10886" spans="1:2" x14ac:dyDescent="0.35">
      <c r="B10886"/>
    </row>
    <row r="10887" spans="1:2" x14ac:dyDescent="0.35">
      <c r="B10887"/>
    </row>
    <row r="10888" spans="1:2" x14ac:dyDescent="0.35">
      <c r="B10888"/>
    </row>
    <row r="10889" spans="1:2" x14ac:dyDescent="0.35">
      <c r="B10889"/>
    </row>
    <row r="10890" spans="1:2" x14ac:dyDescent="0.35">
      <c r="B10890"/>
    </row>
    <row r="10891" spans="1:2" ht="15.5" x14ac:dyDescent="0.35">
      <c r="A10891" s="49"/>
      <c r="B10891" s="49"/>
    </row>
    <row r="10892" spans="1:2" x14ac:dyDescent="0.35">
      <c r="B10892"/>
    </row>
    <row r="10893" spans="1:2" x14ac:dyDescent="0.35">
      <c r="B10893"/>
    </row>
    <row r="10894" spans="1:2" x14ac:dyDescent="0.35">
      <c r="B10894"/>
    </row>
    <row r="10895" spans="1:2" x14ac:dyDescent="0.35">
      <c r="B10895"/>
    </row>
    <row r="10896" spans="1:2" x14ac:dyDescent="0.35">
      <c r="B10896"/>
    </row>
    <row r="10897" spans="1:2" x14ac:dyDescent="0.35">
      <c r="B10897"/>
    </row>
    <row r="10898" spans="1:2" x14ac:dyDescent="0.35">
      <c r="B10898"/>
    </row>
    <row r="10899" spans="1:2" x14ac:dyDescent="0.35">
      <c r="B10899"/>
    </row>
    <row r="10900" spans="1:2" x14ac:dyDescent="0.35">
      <c r="B10900"/>
    </row>
    <row r="10901" spans="1:2" ht="15.5" x14ac:dyDescent="0.35">
      <c r="A10901" s="49"/>
      <c r="B10901"/>
    </row>
    <row r="10902" spans="1:2" x14ac:dyDescent="0.35">
      <c r="B10902"/>
    </row>
    <row r="10903" spans="1:2" x14ac:dyDescent="0.35">
      <c r="B10903"/>
    </row>
    <row r="10904" spans="1:2" x14ac:dyDescent="0.35">
      <c r="B10904"/>
    </row>
    <row r="10905" spans="1:2" x14ac:dyDescent="0.35">
      <c r="B10905"/>
    </row>
    <row r="10906" spans="1:2" x14ac:dyDescent="0.35">
      <c r="B10906"/>
    </row>
    <row r="10907" spans="1:2" x14ac:dyDescent="0.35">
      <c r="B10907"/>
    </row>
    <row r="10908" spans="1:2" x14ac:dyDescent="0.35">
      <c r="B10908"/>
    </row>
    <row r="10909" spans="1:2" x14ac:dyDescent="0.35">
      <c r="B10909"/>
    </row>
    <row r="10910" spans="1:2" x14ac:dyDescent="0.35">
      <c r="B10910"/>
    </row>
    <row r="10911" spans="1:2" x14ac:dyDescent="0.35">
      <c r="B10911"/>
    </row>
    <row r="10912" spans="1:2" x14ac:dyDescent="0.35">
      <c r="B10912"/>
    </row>
    <row r="10913" spans="1:2" x14ac:dyDescent="0.35">
      <c r="B10913"/>
    </row>
    <row r="10914" spans="1:2" x14ac:dyDescent="0.35">
      <c r="B10914"/>
    </row>
    <row r="10915" spans="1:2" x14ac:dyDescent="0.35">
      <c r="B10915"/>
    </row>
    <row r="10916" spans="1:2" x14ac:dyDescent="0.35">
      <c r="B10916"/>
    </row>
    <row r="10917" spans="1:2" x14ac:dyDescent="0.35">
      <c r="B10917"/>
    </row>
    <row r="10918" spans="1:2" x14ac:dyDescent="0.35">
      <c r="B10918"/>
    </row>
    <row r="10919" spans="1:2" x14ac:dyDescent="0.35">
      <c r="B10919"/>
    </row>
    <row r="10920" spans="1:2" x14ac:dyDescent="0.35">
      <c r="B10920"/>
    </row>
    <row r="10921" spans="1:2" x14ac:dyDescent="0.35">
      <c r="B10921"/>
    </row>
    <row r="10922" spans="1:2" x14ac:dyDescent="0.35">
      <c r="B10922"/>
    </row>
    <row r="10923" spans="1:2" x14ac:dyDescent="0.35">
      <c r="B10923"/>
    </row>
    <row r="10924" spans="1:2" x14ac:dyDescent="0.35">
      <c r="B10924"/>
    </row>
    <row r="10925" spans="1:2" ht="15.5" x14ac:dyDescent="0.35">
      <c r="A10925" s="49"/>
      <c r="B10925" s="49"/>
    </row>
    <row r="10926" spans="1:2" x14ac:dyDescent="0.35">
      <c r="B10926"/>
    </row>
    <row r="10927" spans="1:2" x14ac:dyDescent="0.35">
      <c r="B10927"/>
    </row>
    <row r="10928" spans="1:2" x14ac:dyDescent="0.35">
      <c r="B10928"/>
    </row>
    <row r="10929" spans="1:2" x14ac:dyDescent="0.35">
      <c r="B10929"/>
    </row>
    <row r="10930" spans="1:2" x14ac:dyDescent="0.35">
      <c r="B10930"/>
    </row>
    <row r="10931" spans="1:2" x14ac:dyDescent="0.35">
      <c r="B10931"/>
    </row>
    <row r="10932" spans="1:2" x14ac:dyDescent="0.35">
      <c r="B10932"/>
    </row>
    <row r="10933" spans="1:2" x14ac:dyDescent="0.35">
      <c r="B10933"/>
    </row>
    <row r="10934" spans="1:2" x14ac:dyDescent="0.35">
      <c r="B10934"/>
    </row>
    <row r="10935" spans="1:2" ht="15.5" x14ac:dyDescent="0.35">
      <c r="A10935" s="49"/>
      <c r="B10935"/>
    </row>
    <row r="10936" spans="1:2" x14ac:dyDescent="0.35">
      <c r="B10936"/>
    </row>
    <row r="10937" spans="1:2" x14ac:dyDescent="0.35">
      <c r="B10937"/>
    </row>
    <row r="10938" spans="1:2" x14ac:dyDescent="0.35">
      <c r="B10938"/>
    </row>
    <row r="10939" spans="1:2" x14ac:dyDescent="0.35">
      <c r="B10939"/>
    </row>
    <row r="10940" spans="1:2" x14ac:dyDescent="0.35">
      <c r="B10940"/>
    </row>
    <row r="10941" spans="1:2" x14ac:dyDescent="0.35">
      <c r="B10941"/>
    </row>
    <row r="10942" spans="1:2" x14ac:dyDescent="0.35">
      <c r="B10942"/>
    </row>
    <row r="10943" spans="1:2" x14ac:dyDescent="0.35">
      <c r="B10943"/>
    </row>
    <row r="10944" spans="1:2" x14ac:dyDescent="0.35">
      <c r="B10944"/>
    </row>
    <row r="10945" spans="1:2" x14ac:dyDescent="0.35">
      <c r="B10945"/>
    </row>
    <row r="10946" spans="1:2" x14ac:dyDescent="0.35">
      <c r="B10946"/>
    </row>
    <row r="10947" spans="1:2" x14ac:dyDescent="0.35">
      <c r="B10947"/>
    </row>
    <row r="10948" spans="1:2" x14ac:dyDescent="0.35">
      <c r="B10948"/>
    </row>
    <row r="10949" spans="1:2" x14ac:dyDescent="0.35">
      <c r="B10949"/>
    </row>
    <row r="10950" spans="1:2" x14ac:dyDescent="0.35">
      <c r="B10950"/>
    </row>
    <row r="10951" spans="1:2" x14ac:dyDescent="0.35">
      <c r="B10951"/>
    </row>
    <row r="10952" spans="1:2" x14ac:dyDescent="0.35">
      <c r="B10952"/>
    </row>
    <row r="10953" spans="1:2" x14ac:dyDescent="0.35">
      <c r="B10953"/>
    </row>
    <row r="10954" spans="1:2" x14ac:dyDescent="0.35">
      <c r="B10954"/>
    </row>
    <row r="10955" spans="1:2" x14ac:dyDescent="0.35">
      <c r="B10955"/>
    </row>
    <row r="10956" spans="1:2" x14ac:dyDescent="0.35">
      <c r="B10956"/>
    </row>
    <row r="10957" spans="1:2" x14ac:dyDescent="0.35">
      <c r="B10957"/>
    </row>
    <row r="10958" spans="1:2" x14ac:dyDescent="0.35">
      <c r="B10958"/>
    </row>
    <row r="10959" spans="1:2" ht="15.5" x14ac:dyDescent="0.35">
      <c r="A10959" s="49"/>
      <c r="B10959" s="49"/>
    </row>
    <row r="10960" spans="1:2" x14ac:dyDescent="0.35">
      <c r="B10960"/>
    </row>
    <row r="10961" spans="1:2" x14ac:dyDescent="0.35">
      <c r="B10961"/>
    </row>
    <row r="10962" spans="1:2" x14ac:dyDescent="0.35">
      <c r="B10962"/>
    </row>
    <row r="10963" spans="1:2" x14ac:dyDescent="0.35">
      <c r="B10963"/>
    </row>
    <row r="10964" spans="1:2" x14ac:dyDescent="0.35">
      <c r="B10964"/>
    </row>
    <row r="10965" spans="1:2" x14ac:dyDescent="0.35">
      <c r="B10965"/>
    </row>
    <row r="10966" spans="1:2" x14ac:dyDescent="0.35">
      <c r="B10966"/>
    </row>
    <row r="10967" spans="1:2" x14ac:dyDescent="0.35">
      <c r="B10967"/>
    </row>
    <row r="10968" spans="1:2" x14ac:dyDescent="0.35">
      <c r="B10968"/>
    </row>
    <row r="10969" spans="1:2" ht="15.5" x14ac:dyDescent="0.35">
      <c r="A10969" s="49"/>
      <c r="B10969"/>
    </row>
    <row r="10970" spans="1:2" x14ac:dyDescent="0.35">
      <c r="B10970"/>
    </row>
    <row r="10971" spans="1:2" x14ac:dyDescent="0.35">
      <c r="B10971"/>
    </row>
    <row r="10972" spans="1:2" x14ac:dyDescent="0.35">
      <c r="B10972"/>
    </row>
    <row r="10973" spans="1:2" x14ac:dyDescent="0.35">
      <c r="B10973"/>
    </row>
    <row r="10974" spans="1:2" x14ac:dyDescent="0.35">
      <c r="B10974"/>
    </row>
    <row r="10975" spans="1:2" x14ac:dyDescent="0.35">
      <c r="B10975"/>
    </row>
    <row r="10976" spans="1:2" x14ac:dyDescent="0.35">
      <c r="B10976"/>
    </row>
    <row r="10977" spans="2:2" x14ac:dyDescent="0.35">
      <c r="B10977"/>
    </row>
    <row r="10978" spans="2:2" x14ac:dyDescent="0.35">
      <c r="B10978"/>
    </row>
    <row r="10979" spans="2:2" x14ac:dyDescent="0.35">
      <c r="B10979"/>
    </row>
    <row r="10980" spans="2:2" x14ac:dyDescent="0.35">
      <c r="B10980"/>
    </row>
    <row r="10981" spans="2:2" x14ac:dyDescent="0.35">
      <c r="B10981"/>
    </row>
    <row r="10982" spans="2:2" x14ac:dyDescent="0.35">
      <c r="B10982"/>
    </row>
    <row r="10983" spans="2:2" x14ac:dyDescent="0.35">
      <c r="B10983"/>
    </row>
    <row r="10984" spans="2:2" x14ac:dyDescent="0.35">
      <c r="B10984"/>
    </row>
    <row r="10985" spans="2:2" x14ac:dyDescent="0.35">
      <c r="B10985"/>
    </row>
    <row r="10986" spans="2:2" x14ac:dyDescent="0.35">
      <c r="B10986"/>
    </row>
    <row r="10987" spans="2:2" x14ac:dyDescent="0.35">
      <c r="B10987"/>
    </row>
    <row r="10988" spans="2:2" x14ac:dyDescent="0.35">
      <c r="B10988"/>
    </row>
    <row r="10989" spans="2:2" x14ac:dyDescent="0.35">
      <c r="B10989"/>
    </row>
    <row r="10990" spans="2:2" x14ac:dyDescent="0.35">
      <c r="B10990"/>
    </row>
    <row r="10991" spans="2:2" x14ac:dyDescent="0.35">
      <c r="B10991"/>
    </row>
    <row r="10992" spans="2:2" x14ac:dyDescent="0.35">
      <c r="B10992"/>
    </row>
    <row r="10993" spans="1:2" ht="15.5" x14ac:dyDescent="0.35">
      <c r="A10993" s="49"/>
      <c r="B10993" s="49"/>
    </row>
    <row r="10994" spans="1:2" x14ac:dyDescent="0.35">
      <c r="B10994"/>
    </row>
    <row r="10995" spans="1:2" x14ac:dyDescent="0.35">
      <c r="B10995"/>
    </row>
    <row r="10996" spans="1:2" x14ac:dyDescent="0.35">
      <c r="B10996"/>
    </row>
    <row r="10997" spans="1:2" x14ac:dyDescent="0.35">
      <c r="B10997"/>
    </row>
    <row r="10998" spans="1:2" x14ac:dyDescent="0.35">
      <c r="B10998"/>
    </row>
    <row r="10999" spans="1:2" x14ac:dyDescent="0.35">
      <c r="B10999"/>
    </row>
    <row r="11000" spans="1:2" x14ac:dyDescent="0.35">
      <c r="B11000"/>
    </row>
    <row r="11001" spans="1:2" x14ac:dyDescent="0.35">
      <c r="B11001"/>
    </row>
    <row r="11002" spans="1:2" x14ac:dyDescent="0.35">
      <c r="B11002"/>
    </row>
    <row r="11003" spans="1:2" ht="15.5" x14ac:dyDescent="0.35">
      <c r="A11003" s="49"/>
      <c r="B11003"/>
    </row>
    <row r="11004" spans="1:2" x14ac:dyDescent="0.35">
      <c r="B11004"/>
    </row>
    <row r="11005" spans="1:2" x14ac:dyDescent="0.35">
      <c r="B11005"/>
    </row>
    <row r="11006" spans="1:2" x14ac:dyDescent="0.35">
      <c r="B11006"/>
    </row>
    <row r="11007" spans="1:2" x14ac:dyDescent="0.35">
      <c r="B11007"/>
    </row>
    <row r="11008" spans="1:2" x14ac:dyDescent="0.35">
      <c r="B11008"/>
    </row>
    <row r="11009" spans="1:2" x14ac:dyDescent="0.35">
      <c r="B11009"/>
    </row>
    <row r="11010" spans="1:2" x14ac:dyDescent="0.35">
      <c r="B11010"/>
    </row>
    <row r="11011" spans="1:2" x14ac:dyDescent="0.35">
      <c r="B11011"/>
    </row>
    <row r="11012" spans="1:2" x14ac:dyDescent="0.35">
      <c r="B11012"/>
    </row>
    <row r="11013" spans="1:2" x14ac:dyDescent="0.35">
      <c r="B11013"/>
    </row>
    <row r="11014" spans="1:2" x14ac:dyDescent="0.35">
      <c r="B11014"/>
    </row>
    <row r="11015" spans="1:2" x14ac:dyDescent="0.35">
      <c r="B11015"/>
    </row>
    <row r="11016" spans="1:2" x14ac:dyDescent="0.35">
      <c r="B11016"/>
    </row>
    <row r="11017" spans="1:2" x14ac:dyDescent="0.35">
      <c r="B11017"/>
    </row>
    <row r="11018" spans="1:2" x14ac:dyDescent="0.35">
      <c r="B11018"/>
    </row>
    <row r="11019" spans="1:2" ht="15.5" x14ac:dyDescent="0.35">
      <c r="A11019" s="49"/>
      <c r="B11019" s="49"/>
    </row>
    <row r="11020" spans="1:2" x14ac:dyDescent="0.35">
      <c r="B11020"/>
    </row>
    <row r="11021" spans="1:2" x14ac:dyDescent="0.35">
      <c r="B11021"/>
    </row>
    <row r="11022" spans="1:2" x14ac:dyDescent="0.35">
      <c r="B11022"/>
    </row>
    <row r="11023" spans="1:2" x14ac:dyDescent="0.35">
      <c r="B11023"/>
    </row>
    <row r="11024" spans="1:2" x14ac:dyDescent="0.35">
      <c r="B11024"/>
    </row>
    <row r="11025" spans="1:2" x14ac:dyDescent="0.35">
      <c r="B11025"/>
    </row>
    <row r="11026" spans="1:2" x14ac:dyDescent="0.35">
      <c r="B11026"/>
    </row>
    <row r="11027" spans="1:2" x14ac:dyDescent="0.35">
      <c r="B11027"/>
    </row>
    <row r="11028" spans="1:2" x14ac:dyDescent="0.35">
      <c r="B11028"/>
    </row>
    <row r="11029" spans="1:2" ht="15.5" x14ac:dyDescent="0.35">
      <c r="A11029" s="49"/>
      <c r="B11029"/>
    </row>
    <row r="11030" spans="1:2" x14ac:dyDescent="0.35">
      <c r="B11030"/>
    </row>
    <row r="11031" spans="1:2" x14ac:dyDescent="0.35">
      <c r="B11031"/>
    </row>
    <row r="11032" spans="1:2" x14ac:dyDescent="0.35">
      <c r="B11032"/>
    </row>
    <row r="11033" spans="1:2" x14ac:dyDescent="0.35">
      <c r="B11033"/>
    </row>
    <row r="11034" spans="1:2" x14ac:dyDescent="0.35">
      <c r="B11034"/>
    </row>
    <row r="11035" spans="1:2" x14ac:dyDescent="0.35">
      <c r="B11035"/>
    </row>
    <row r="11036" spans="1:2" x14ac:dyDescent="0.35">
      <c r="B11036"/>
    </row>
    <row r="11037" spans="1:2" x14ac:dyDescent="0.35">
      <c r="B11037"/>
    </row>
    <row r="11038" spans="1:2" x14ac:dyDescent="0.35">
      <c r="B11038"/>
    </row>
    <row r="11039" spans="1:2" ht="15.5" x14ac:dyDescent="0.35">
      <c r="A11039" s="49"/>
      <c r="B11039" s="49"/>
    </row>
    <row r="11040" spans="1:2" x14ac:dyDescent="0.35">
      <c r="B11040"/>
    </row>
    <row r="11041" spans="1:2" x14ac:dyDescent="0.35">
      <c r="B11041"/>
    </row>
    <row r="11042" spans="1:2" x14ac:dyDescent="0.35">
      <c r="B11042"/>
    </row>
    <row r="11043" spans="1:2" x14ac:dyDescent="0.35">
      <c r="B11043"/>
    </row>
    <row r="11044" spans="1:2" x14ac:dyDescent="0.35">
      <c r="B11044"/>
    </row>
    <row r="11045" spans="1:2" x14ac:dyDescent="0.35">
      <c r="B11045"/>
    </row>
    <row r="11046" spans="1:2" x14ac:dyDescent="0.35">
      <c r="B11046"/>
    </row>
    <row r="11047" spans="1:2" x14ac:dyDescent="0.35">
      <c r="B11047"/>
    </row>
    <row r="11048" spans="1:2" x14ac:dyDescent="0.35">
      <c r="B11048"/>
    </row>
    <row r="11049" spans="1:2" ht="15.5" x14ac:dyDescent="0.35">
      <c r="A11049" s="49"/>
      <c r="B11049"/>
    </row>
    <row r="11050" spans="1:2" x14ac:dyDescent="0.35">
      <c r="B11050"/>
    </row>
    <row r="11051" spans="1:2" x14ac:dyDescent="0.35">
      <c r="B11051"/>
    </row>
    <row r="11052" spans="1:2" x14ac:dyDescent="0.35">
      <c r="B11052"/>
    </row>
    <row r="11053" spans="1:2" x14ac:dyDescent="0.35">
      <c r="B11053"/>
    </row>
    <row r="11054" spans="1:2" x14ac:dyDescent="0.35">
      <c r="B11054"/>
    </row>
    <row r="11055" spans="1:2" x14ac:dyDescent="0.35">
      <c r="B11055"/>
    </row>
    <row r="11056" spans="1:2" x14ac:dyDescent="0.35">
      <c r="B11056"/>
    </row>
    <row r="11057" spans="2:2" x14ac:dyDescent="0.35">
      <c r="B11057"/>
    </row>
    <row r="11058" spans="2:2" x14ac:dyDescent="0.35">
      <c r="B11058"/>
    </row>
    <row r="11059" spans="2:2" x14ac:dyDescent="0.35">
      <c r="B11059"/>
    </row>
    <row r="11060" spans="2:2" x14ac:dyDescent="0.35">
      <c r="B11060"/>
    </row>
    <row r="11061" spans="2:2" x14ac:dyDescent="0.35">
      <c r="B11061"/>
    </row>
    <row r="11062" spans="2:2" x14ac:dyDescent="0.35">
      <c r="B11062"/>
    </row>
    <row r="11063" spans="2:2" x14ac:dyDescent="0.35">
      <c r="B11063"/>
    </row>
    <row r="11064" spans="2:2" x14ac:dyDescent="0.35">
      <c r="B11064"/>
    </row>
    <row r="11065" spans="2:2" x14ac:dyDescent="0.35">
      <c r="B11065"/>
    </row>
    <row r="11066" spans="2:2" x14ac:dyDescent="0.35">
      <c r="B11066"/>
    </row>
    <row r="11067" spans="2:2" x14ac:dyDescent="0.35">
      <c r="B11067"/>
    </row>
    <row r="11068" spans="2:2" x14ac:dyDescent="0.35">
      <c r="B11068"/>
    </row>
    <row r="11069" spans="2:2" x14ac:dyDescent="0.35">
      <c r="B11069"/>
    </row>
    <row r="11070" spans="2:2" x14ac:dyDescent="0.35">
      <c r="B11070"/>
    </row>
    <row r="11071" spans="2:2" x14ac:dyDescent="0.35">
      <c r="B11071"/>
    </row>
    <row r="11072" spans="2:2" x14ac:dyDescent="0.35">
      <c r="B11072"/>
    </row>
    <row r="11073" spans="2:2" x14ac:dyDescent="0.35">
      <c r="B11073"/>
    </row>
    <row r="11074" spans="2:2" x14ac:dyDescent="0.35">
      <c r="B11074"/>
    </row>
    <row r="11075" spans="2:2" x14ac:dyDescent="0.35">
      <c r="B11075"/>
    </row>
    <row r="11076" spans="2:2" x14ac:dyDescent="0.35">
      <c r="B11076"/>
    </row>
    <row r="11077" spans="2:2" x14ac:dyDescent="0.35">
      <c r="B11077"/>
    </row>
    <row r="11078" spans="2:2" x14ac:dyDescent="0.35">
      <c r="B11078"/>
    </row>
    <row r="11079" spans="2:2" x14ac:dyDescent="0.35">
      <c r="B11079"/>
    </row>
    <row r="11080" spans="2:2" x14ac:dyDescent="0.35">
      <c r="B11080"/>
    </row>
    <row r="11081" spans="2:2" x14ac:dyDescent="0.35">
      <c r="B11081"/>
    </row>
    <row r="11082" spans="2:2" x14ac:dyDescent="0.35">
      <c r="B11082"/>
    </row>
    <row r="11083" spans="2:2" x14ac:dyDescent="0.35">
      <c r="B11083"/>
    </row>
    <row r="11084" spans="2:2" x14ac:dyDescent="0.35">
      <c r="B11084"/>
    </row>
    <row r="11085" spans="2:2" x14ac:dyDescent="0.35">
      <c r="B11085"/>
    </row>
    <row r="11086" spans="2:2" x14ac:dyDescent="0.35">
      <c r="B11086"/>
    </row>
    <row r="11087" spans="2:2" x14ac:dyDescent="0.35">
      <c r="B11087"/>
    </row>
    <row r="11088" spans="2:2" x14ac:dyDescent="0.35">
      <c r="B11088"/>
    </row>
    <row r="11089" spans="1:2" x14ac:dyDescent="0.35">
      <c r="B11089"/>
    </row>
    <row r="11090" spans="1:2" x14ac:dyDescent="0.35">
      <c r="B11090"/>
    </row>
    <row r="11091" spans="1:2" x14ac:dyDescent="0.35">
      <c r="B11091"/>
    </row>
    <row r="11092" spans="1:2" x14ac:dyDescent="0.35">
      <c r="B11092"/>
    </row>
    <row r="11093" spans="1:2" x14ac:dyDescent="0.35">
      <c r="B11093"/>
    </row>
    <row r="11094" spans="1:2" x14ac:dyDescent="0.35">
      <c r="B11094"/>
    </row>
    <row r="11095" spans="1:2" x14ac:dyDescent="0.35">
      <c r="B11095"/>
    </row>
    <row r="11096" spans="1:2" x14ac:dyDescent="0.35">
      <c r="B11096"/>
    </row>
    <row r="11097" spans="1:2" ht="15.5" x14ac:dyDescent="0.35">
      <c r="A11097" s="49"/>
      <c r="B11097" s="49"/>
    </row>
    <row r="11098" spans="1:2" x14ac:dyDescent="0.35">
      <c r="B11098"/>
    </row>
    <row r="11099" spans="1:2" x14ac:dyDescent="0.35">
      <c r="B11099"/>
    </row>
    <row r="11100" spans="1:2" x14ac:dyDescent="0.35">
      <c r="B11100"/>
    </row>
    <row r="11101" spans="1:2" x14ac:dyDescent="0.35">
      <c r="B11101"/>
    </row>
    <row r="11102" spans="1:2" x14ac:dyDescent="0.35">
      <c r="B11102"/>
    </row>
    <row r="11103" spans="1:2" x14ac:dyDescent="0.35">
      <c r="B11103"/>
    </row>
    <row r="11104" spans="1:2" x14ac:dyDescent="0.35">
      <c r="B11104"/>
    </row>
    <row r="11105" spans="1:2" x14ac:dyDescent="0.35">
      <c r="B11105"/>
    </row>
    <row r="11106" spans="1:2" x14ac:dyDescent="0.35">
      <c r="B11106"/>
    </row>
    <row r="11107" spans="1:2" ht="15.5" x14ac:dyDescent="0.35">
      <c r="A11107" s="49"/>
      <c r="B11107"/>
    </row>
    <row r="11108" spans="1:2" x14ac:dyDescent="0.35">
      <c r="B11108"/>
    </row>
    <row r="11109" spans="1:2" x14ac:dyDescent="0.35">
      <c r="B11109"/>
    </row>
    <row r="11110" spans="1:2" x14ac:dyDescent="0.35">
      <c r="B11110"/>
    </row>
    <row r="11111" spans="1:2" x14ac:dyDescent="0.35">
      <c r="B11111"/>
    </row>
    <row r="11112" spans="1:2" x14ac:dyDescent="0.35">
      <c r="B11112"/>
    </row>
    <row r="11113" spans="1:2" x14ac:dyDescent="0.35">
      <c r="B11113"/>
    </row>
    <row r="11114" spans="1:2" x14ac:dyDescent="0.35">
      <c r="B11114"/>
    </row>
    <row r="11115" spans="1:2" x14ac:dyDescent="0.35">
      <c r="B11115"/>
    </row>
    <row r="11116" spans="1:2" x14ac:dyDescent="0.35">
      <c r="B11116"/>
    </row>
    <row r="11117" spans="1:2" x14ac:dyDescent="0.35">
      <c r="B11117"/>
    </row>
    <row r="11118" spans="1:2" x14ac:dyDescent="0.35">
      <c r="B11118"/>
    </row>
    <row r="11119" spans="1:2" x14ac:dyDescent="0.35">
      <c r="B11119"/>
    </row>
    <row r="11120" spans="1:2" ht="15.5" x14ac:dyDescent="0.35">
      <c r="A11120" s="49"/>
      <c r="B11120" s="49"/>
    </row>
    <row r="11121" spans="1:2" x14ac:dyDescent="0.35">
      <c r="B11121"/>
    </row>
    <row r="11122" spans="1:2" x14ac:dyDescent="0.35">
      <c r="B11122"/>
    </row>
    <row r="11123" spans="1:2" x14ac:dyDescent="0.35">
      <c r="B11123"/>
    </row>
    <row r="11124" spans="1:2" x14ac:dyDescent="0.35">
      <c r="B11124"/>
    </row>
    <row r="11125" spans="1:2" x14ac:dyDescent="0.35">
      <c r="B11125"/>
    </row>
    <row r="11126" spans="1:2" x14ac:dyDescent="0.35">
      <c r="B11126"/>
    </row>
    <row r="11127" spans="1:2" x14ac:dyDescent="0.35">
      <c r="B11127"/>
    </row>
    <row r="11128" spans="1:2" x14ac:dyDescent="0.35">
      <c r="B11128"/>
    </row>
    <row r="11129" spans="1:2" x14ac:dyDescent="0.35">
      <c r="B11129"/>
    </row>
    <row r="11130" spans="1:2" ht="15.5" x14ac:dyDescent="0.35">
      <c r="A11130" s="49"/>
      <c r="B11130"/>
    </row>
    <row r="11131" spans="1:2" x14ac:dyDescent="0.35">
      <c r="B11131"/>
    </row>
    <row r="11132" spans="1:2" x14ac:dyDescent="0.35">
      <c r="B11132"/>
    </row>
    <row r="11133" spans="1:2" x14ac:dyDescent="0.35">
      <c r="B11133"/>
    </row>
    <row r="11134" spans="1:2" x14ac:dyDescent="0.35">
      <c r="B11134"/>
    </row>
    <row r="11135" spans="1:2" x14ac:dyDescent="0.35">
      <c r="B11135"/>
    </row>
    <row r="11136" spans="1:2" x14ac:dyDescent="0.35">
      <c r="B11136"/>
    </row>
    <row r="11137" spans="1:2" x14ac:dyDescent="0.35">
      <c r="B11137"/>
    </row>
    <row r="11138" spans="1:2" x14ac:dyDescent="0.35">
      <c r="B11138"/>
    </row>
    <row r="11139" spans="1:2" x14ac:dyDescent="0.35">
      <c r="B11139"/>
    </row>
    <row r="11140" spans="1:2" x14ac:dyDescent="0.35">
      <c r="B11140"/>
    </row>
    <row r="11141" spans="1:2" x14ac:dyDescent="0.35">
      <c r="B11141"/>
    </row>
    <row r="11142" spans="1:2" x14ac:dyDescent="0.35">
      <c r="A11142" s="36"/>
      <c r="B11142" s="36"/>
    </row>
    <row r="11143" spans="1:2" x14ac:dyDescent="0.35">
      <c r="B11143"/>
    </row>
    <row r="11144" spans="1:2" x14ac:dyDescent="0.35">
      <c r="B11144"/>
    </row>
    <row r="11145" spans="1:2" x14ac:dyDescent="0.35">
      <c r="B11145"/>
    </row>
    <row r="11146" spans="1:2" x14ac:dyDescent="0.35">
      <c r="B11146"/>
    </row>
    <row r="11147" spans="1:2" x14ac:dyDescent="0.35">
      <c r="B11147"/>
    </row>
    <row r="11148" spans="1:2" x14ac:dyDescent="0.35">
      <c r="B11148"/>
    </row>
    <row r="11149" spans="1:2" x14ac:dyDescent="0.35">
      <c r="B11149"/>
    </row>
    <row r="11150" spans="1:2" x14ac:dyDescent="0.35">
      <c r="B11150"/>
    </row>
    <row r="11151" spans="1:2" x14ac:dyDescent="0.35">
      <c r="B11151"/>
    </row>
    <row r="11152" spans="1:2" x14ac:dyDescent="0.35">
      <c r="B11152"/>
    </row>
    <row r="11153" spans="2:2" x14ac:dyDescent="0.35">
      <c r="B11153"/>
    </row>
    <row r="11154" spans="2:2" x14ac:dyDescent="0.35">
      <c r="B11154"/>
    </row>
    <row r="11155" spans="2:2" x14ac:dyDescent="0.35">
      <c r="B11155"/>
    </row>
    <row r="11156" spans="2:2" x14ac:dyDescent="0.35">
      <c r="B11156"/>
    </row>
    <row r="11157" spans="2:2" x14ac:dyDescent="0.35">
      <c r="B11157"/>
    </row>
    <row r="11158" spans="2:2" x14ac:dyDescent="0.35">
      <c r="B11158"/>
    </row>
    <row r="11159" spans="2:2" x14ac:dyDescent="0.35">
      <c r="B11159"/>
    </row>
    <row r="11160" spans="2:2" x14ac:dyDescent="0.35">
      <c r="B11160"/>
    </row>
    <row r="11161" spans="2:2" x14ac:dyDescent="0.35">
      <c r="B11161"/>
    </row>
    <row r="11162" spans="2:2" x14ac:dyDescent="0.35">
      <c r="B11162"/>
    </row>
    <row r="11163" spans="2:2" x14ac:dyDescent="0.35">
      <c r="B11163"/>
    </row>
    <row r="11164" spans="2:2" x14ac:dyDescent="0.35">
      <c r="B11164"/>
    </row>
    <row r="11165" spans="2:2" x14ac:dyDescent="0.35">
      <c r="B11165"/>
    </row>
    <row r="11166" spans="2:2" x14ac:dyDescent="0.35">
      <c r="B11166"/>
    </row>
    <row r="11167" spans="2:2" x14ac:dyDescent="0.35">
      <c r="B11167"/>
    </row>
    <row r="11168" spans="2:2" x14ac:dyDescent="0.35">
      <c r="B11168"/>
    </row>
    <row r="11169" spans="1:2" x14ac:dyDescent="0.35">
      <c r="B11169"/>
    </row>
    <row r="11170" spans="1:2" x14ac:dyDescent="0.35">
      <c r="B11170"/>
    </row>
    <row r="11171" spans="1:2" x14ac:dyDescent="0.35">
      <c r="B11171"/>
    </row>
    <row r="11172" spans="1:2" x14ac:dyDescent="0.35">
      <c r="B11172"/>
    </row>
    <row r="11173" spans="1:2" x14ac:dyDescent="0.35">
      <c r="B11173"/>
    </row>
    <row r="11174" spans="1:2" x14ac:dyDescent="0.35">
      <c r="B11174"/>
    </row>
    <row r="11175" spans="1:2" x14ac:dyDescent="0.35">
      <c r="B11175"/>
    </row>
    <row r="11176" spans="1:2" x14ac:dyDescent="0.35">
      <c r="A11176" s="36"/>
      <c r="B11176" s="36"/>
    </row>
    <row r="11177" spans="1:2" x14ac:dyDescent="0.35">
      <c r="B11177"/>
    </row>
    <row r="11178" spans="1:2" x14ac:dyDescent="0.35">
      <c r="B11178"/>
    </row>
    <row r="11179" spans="1:2" x14ac:dyDescent="0.35">
      <c r="B11179"/>
    </row>
    <row r="11180" spans="1:2" x14ac:dyDescent="0.35">
      <c r="B11180"/>
    </row>
    <row r="11181" spans="1:2" x14ac:dyDescent="0.35">
      <c r="B11181"/>
    </row>
    <row r="11182" spans="1:2" x14ac:dyDescent="0.35">
      <c r="B11182"/>
    </row>
    <row r="11183" spans="1:2" x14ac:dyDescent="0.35">
      <c r="B11183"/>
    </row>
    <row r="11184" spans="1:2" x14ac:dyDescent="0.35">
      <c r="B11184"/>
    </row>
    <row r="11185" spans="2:2" x14ac:dyDescent="0.35">
      <c r="B11185"/>
    </row>
    <row r="11186" spans="2:2" x14ac:dyDescent="0.35">
      <c r="B11186"/>
    </row>
    <row r="11187" spans="2:2" x14ac:dyDescent="0.35">
      <c r="B11187"/>
    </row>
    <row r="11188" spans="2:2" x14ac:dyDescent="0.35">
      <c r="B11188"/>
    </row>
    <row r="11189" spans="2:2" x14ac:dyDescent="0.35">
      <c r="B11189"/>
    </row>
    <row r="11190" spans="2:2" x14ac:dyDescent="0.35">
      <c r="B11190"/>
    </row>
    <row r="11191" spans="2:2" x14ac:dyDescent="0.35">
      <c r="B11191"/>
    </row>
    <row r="11192" spans="2:2" x14ac:dyDescent="0.35">
      <c r="B11192"/>
    </row>
    <row r="11193" spans="2:2" x14ac:dyDescent="0.35">
      <c r="B11193"/>
    </row>
    <row r="11194" spans="2:2" x14ac:dyDescent="0.35">
      <c r="B11194"/>
    </row>
    <row r="11195" spans="2:2" x14ac:dyDescent="0.35">
      <c r="B11195"/>
    </row>
    <row r="11196" spans="2:2" x14ac:dyDescent="0.35">
      <c r="B11196"/>
    </row>
    <row r="11197" spans="2:2" x14ac:dyDescent="0.35">
      <c r="B11197"/>
    </row>
    <row r="11198" spans="2:2" x14ac:dyDescent="0.35">
      <c r="B11198"/>
    </row>
    <row r="11199" spans="2:2" x14ac:dyDescent="0.35">
      <c r="B11199"/>
    </row>
    <row r="11200" spans="2:2" x14ac:dyDescent="0.35">
      <c r="B11200"/>
    </row>
    <row r="11201" spans="1:2" x14ac:dyDescent="0.35">
      <c r="B11201"/>
    </row>
    <row r="11202" spans="1:2" x14ac:dyDescent="0.35">
      <c r="B11202"/>
    </row>
    <row r="11203" spans="1:2" x14ac:dyDescent="0.35">
      <c r="B11203"/>
    </row>
    <row r="11204" spans="1:2" x14ac:dyDescent="0.35">
      <c r="B11204"/>
    </row>
    <row r="11205" spans="1:2" x14ac:dyDescent="0.35">
      <c r="B11205"/>
    </row>
    <row r="11206" spans="1:2" x14ac:dyDescent="0.35">
      <c r="B11206"/>
    </row>
    <row r="11207" spans="1:2" x14ac:dyDescent="0.35">
      <c r="B11207"/>
    </row>
    <row r="11208" spans="1:2" x14ac:dyDescent="0.35">
      <c r="B11208"/>
    </row>
    <row r="11209" spans="1:2" x14ac:dyDescent="0.35">
      <c r="B11209"/>
    </row>
    <row r="11210" spans="1:2" x14ac:dyDescent="0.35">
      <c r="A11210" s="36"/>
      <c r="B11210" s="36"/>
    </row>
    <row r="11211" spans="1:2" x14ac:dyDescent="0.35">
      <c r="B11211"/>
    </row>
    <row r="11212" spans="1:2" x14ac:dyDescent="0.35">
      <c r="B11212"/>
    </row>
    <row r="11213" spans="1:2" x14ac:dyDescent="0.35">
      <c r="B11213"/>
    </row>
    <row r="11214" spans="1:2" x14ac:dyDescent="0.35">
      <c r="B11214"/>
    </row>
    <row r="11215" spans="1:2" x14ac:dyDescent="0.35">
      <c r="B11215"/>
    </row>
    <row r="11216" spans="1:2" x14ac:dyDescent="0.35">
      <c r="B11216"/>
    </row>
    <row r="11217" spans="2:2" x14ac:dyDescent="0.35">
      <c r="B11217"/>
    </row>
    <row r="11218" spans="2:2" x14ac:dyDescent="0.35">
      <c r="B11218"/>
    </row>
    <row r="11219" spans="2:2" x14ac:dyDescent="0.35">
      <c r="B11219"/>
    </row>
    <row r="11220" spans="2:2" x14ac:dyDescent="0.35">
      <c r="B11220"/>
    </row>
    <row r="11221" spans="2:2" x14ac:dyDescent="0.35">
      <c r="B11221"/>
    </row>
    <row r="11222" spans="2:2" x14ac:dyDescent="0.35">
      <c r="B11222"/>
    </row>
    <row r="11223" spans="2:2" x14ac:dyDescent="0.35">
      <c r="B11223"/>
    </row>
    <row r="11224" spans="2:2" x14ac:dyDescent="0.35">
      <c r="B11224"/>
    </row>
    <row r="11225" spans="2:2" x14ac:dyDescent="0.35">
      <c r="B11225"/>
    </row>
    <row r="11226" spans="2:2" x14ac:dyDescent="0.35">
      <c r="B11226"/>
    </row>
    <row r="11227" spans="2:2" x14ac:dyDescent="0.35">
      <c r="B11227"/>
    </row>
    <row r="11228" spans="2:2" x14ac:dyDescent="0.35">
      <c r="B11228"/>
    </row>
    <row r="11229" spans="2:2" x14ac:dyDescent="0.35">
      <c r="B11229"/>
    </row>
    <row r="11230" spans="2:2" x14ac:dyDescent="0.35">
      <c r="B11230"/>
    </row>
    <row r="11231" spans="2:2" x14ac:dyDescent="0.35">
      <c r="B11231"/>
    </row>
    <row r="11232" spans="2:2" x14ac:dyDescent="0.35">
      <c r="B11232"/>
    </row>
    <row r="11233" spans="1:2" x14ac:dyDescent="0.35">
      <c r="B11233"/>
    </row>
    <row r="11234" spans="1:2" x14ac:dyDescent="0.35">
      <c r="B11234"/>
    </row>
    <row r="11235" spans="1:2" x14ac:dyDescent="0.35">
      <c r="B11235"/>
    </row>
    <row r="11236" spans="1:2" x14ac:dyDescent="0.35">
      <c r="B11236"/>
    </row>
    <row r="11237" spans="1:2" x14ac:dyDescent="0.35">
      <c r="B11237"/>
    </row>
    <row r="11238" spans="1:2" x14ac:dyDescent="0.35">
      <c r="B11238"/>
    </row>
    <row r="11239" spans="1:2" x14ac:dyDescent="0.35">
      <c r="B11239"/>
    </row>
    <row r="11240" spans="1:2" x14ac:dyDescent="0.35">
      <c r="B11240"/>
    </row>
    <row r="11241" spans="1:2" x14ac:dyDescent="0.35">
      <c r="B11241"/>
    </row>
    <row r="11242" spans="1:2" x14ac:dyDescent="0.35">
      <c r="B11242"/>
    </row>
    <row r="11243" spans="1:2" x14ac:dyDescent="0.35">
      <c r="B11243"/>
    </row>
    <row r="11244" spans="1:2" x14ac:dyDescent="0.35">
      <c r="A11244" s="36"/>
      <c r="B11244" s="36"/>
    </row>
    <row r="11245" spans="1:2" x14ac:dyDescent="0.35">
      <c r="B11245"/>
    </row>
    <row r="11246" spans="1:2" x14ac:dyDescent="0.35">
      <c r="B11246"/>
    </row>
    <row r="11247" spans="1:2" x14ac:dyDescent="0.35">
      <c r="B11247"/>
    </row>
    <row r="11248" spans="1:2" x14ac:dyDescent="0.35">
      <c r="B11248"/>
    </row>
    <row r="11249" spans="2:2" x14ac:dyDescent="0.35">
      <c r="B11249"/>
    </row>
    <row r="11250" spans="2:2" x14ac:dyDescent="0.35">
      <c r="B11250"/>
    </row>
    <row r="11251" spans="2:2" x14ac:dyDescent="0.35">
      <c r="B11251"/>
    </row>
    <row r="11252" spans="2:2" x14ac:dyDescent="0.35">
      <c r="B11252"/>
    </row>
    <row r="11253" spans="2:2" x14ac:dyDescent="0.35">
      <c r="B11253"/>
    </row>
    <row r="11254" spans="2:2" x14ac:dyDescent="0.35">
      <c r="B11254"/>
    </row>
    <row r="11255" spans="2:2" x14ac:dyDescent="0.35">
      <c r="B11255"/>
    </row>
    <row r="11256" spans="2:2" x14ac:dyDescent="0.35">
      <c r="B11256"/>
    </row>
    <row r="11257" spans="2:2" x14ac:dyDescent="0.35">
      <c r="B11257"/>
    </row>
    <row r="11258" spans="2:2" x14ac:dyDescent="0.35">
      <c r="B11258"/>
    </row>
    <row r="11259" spans="2:2" x14ac:dyDescent="0.35">
      <c r="B11259"/>
    </row>
    <row r="11260" spans="2:2" x14ac:dyDescent="0.35">
      <c r="B11260"/>
    </row>
    <row r="11261" spans="2:2" x14ac:dyDescent="0.35">
      <c r="B11261"/>
    </row>
    <row r="11262" spans="2:2" x14ac:dyDescent="0.35">
      <c r="B11262"/>
    </row>
    <row r="11263" spans="2:2" x14ac:dyDescent="0.35">
      <c r="B11263"/>
    </row>
    <row r="11264" spans="2:2" x14ac:dyDescent="0.35">
      <c r="B11264"/>
    </row>
    <row r="11265" spans="1:2" x14ac:dyDescent="0.35">
      <c r="B11265"/>
    </row>
    <row r="11266" spans="1:2" x14ac:dyDescent="0.35">
      <c r="B11266"/>
    </row>
    <row r="11267" spans="1:2" x14ac:dyDescent="0.35">
      <c r="B11267"/>
    </row>
    <row r="11268" spans="1:2" x14ac:dyDescent="0.35">
      <c r="B11268"/>
    </row>
    <row r="11269" spans="1:2" x14ac:dyDescent="0.35">
      <c r="B11269"/>
    </row>
    <row r="11270" spans="1:2" x14ac:dyDescent="0.35">
      <c r="B11270"/>
    </row>
    <row r="11271" spans="1:2" x14ac:dyDescent="0.35">
      <c r="B11271"/>
    </row>
    <row r="11272" spans="1:2" x14ac:dyDescent="0.35">
      <c r="B11272"/>
    </row>
    <row r="11273" spans="1:2" x14ac:dyDescent="0.35">
      <c r="B11273"/>
    </row>
    <row r="11274" spans="1:2" x14ac:dyDescent="0.35">
      <c r="B11274"/>
    </row>
    <row r="11275" spans="1:2" x14ac:dyDescent="0.35">
      <c r="B11275"/>
    </row>
    <row r="11276" spans="1:2" x14ac:dyDescent="0.35">
      <c r="B11276"/>
    </row>
    <row r="11277" spans="1:2" x14ac:dyDescent="0.35">
      <c r="B11277"/>
    </row>
    <row r="11278" spans="1:2" x14ac:dyDescent="0.35">
      <c r="A11278" s="36"/>
      <c r="B11278" s="36"/>
    </row>
    <row r="11279" spans="1:2" x14ac:dyDescent="0.35">
      <c r="B11279"/>
    </row>
    <row r="11280" spans="1:2" x14ac:dyDescent="0.35">
      <c r="B11280"/>
    </row>
    <row r="11281" spans="2:2" x14ac:dyDescent="0.35">
      <c r="B11281"/>
    </row>
    <row r="11282" spans="2:2" x14ac:dyDescent="0.35">
      <c r="B11282"/>
    </row>
    <row r="11283" spans="2:2" x14ac:dyDescent="0.35">
      <c r="B11283"/>
    </row>
    <row r="11284" spans="2:2" x14ac:dyDescent="0.35">
      <c r="B11284"/>
    </row>
    <row r="11285" spans="2:2" x14ac:dyDescent="0.35">
      <c r="B11285"/>
    </row>
    <row r="11286" spans="2:2" x14ac:dyDescent="0.35">
      <c r="B11286"/>
    </row>
    <row r="11287" spans="2:2" x14ac:dyDescent="0.35">
      <c r="B11287"/>
    </row>
    <row r="11288" spans="2:2" x14ac:dyDescent="0.35">
      <c r="B11288"/>
    </row>
    <row r="11289" spans="2:2" x14ac:dyDescent="0.35">
      <c r="B11289"/>
    </row>
    <row r="11290" spans="2:2" x14ac:dyDescent="0.35">
      <c r="B11290"/>
    </row>
    <row r="11291" spans="2:2" x14ac:dyDescent="0.35">
      <c r="B11291"/>
    </row>
    <row r="11292" spans="2:2" x14ac:dyDescent="0.35">
      <c r="B11292"/>
    </row>
    <row r="11293" spans="2:2" x14ac:dyDescent="0.35">
      <c r="B11293"/>
    </row>
    <row r="11294" spans="2:2" x14ac:dyDescent="0.35">
      <c r="B11294"/>
    </row>
    <row r="11295" spans="2:2" x14ac:dyDescent="0.35">
      <c r="B11295"/>
    </row>
    <row r="11296" spans="2:2" x14ac:dyDescent="0.35">
      <c r="B11296"/>
    </row>
    <row r="11297" spans="1:2" x14ac:dyDescent="0.35">
      <c r="B11297"/>
    </row>
    <row r="11298" spans="1:2" x14ac:dyDescent="0.35">
      <c r="B11298"/>
    </row>
    <row r="11299" spans="1:2" x14ac:dyDescent="0.35">
      <c r="B11299"/>
    </row>
    <row r="11300" spans="1:2" x14ac:dyDescent="0.35">
      <c r="B11300"/>
    </row>
    <row r="11301" spans="1:2" x14ac:dyDescent="0.35">
      <c r="B11301"/>
    </row>
    <row r="11302" spans="1:2" x14ac:dyDescent="0.35">
      <c r="B11302"/>
    </row>
    <row r="11303" spans="1:2" x14ac:dyDescent="0.35">
      <c r="B11303"/>
    </row>
    <row r="11304" spans="1:2" x14ac:dyDescent="0.35">
      <c r="B11304"/>
    </row>
    <row r="11305" spans="1:2" x14ac:dyDescent="0.35">
      <c r="B11305"/>
    </row>
    <row r="11306" spans="1:2" x14ac:dyDescent="0.35">
      <c r="B11306"/>
    </row>
    <row r="11307" spans="1:2" x14ac:dyDescent="0.35">
      <c r="B11307"/>
    </row>
    <row r="11308" spans="1:2" x14ac:dyDescent="0.35">
      <c r="B11308"/>
    </row>
    <row r="11309" spans="1:2" x14ac:dyDescent="0.35">
      <c r="B11309"/>
    </row>
    <row r="11310" spans="1:2" x14ac:dyDescent="0.35">
      <c r="B11310"/>
    </row>
    <row r="11311" spans="1:2" x14ac:dyDescent="0.35">
      <c r="B11311"/>
    </row>
    <row r="11312" spans="1:2" x14ac:dyDescent="0.35">
      <c r="A11312" s="36"/>
      <c r="B11312" s="36"/>
    </row>
    <row r="11313" spans="2:2" x14ac:dyDescent="0.35">
      <c r="B11313"/>
    </row>
    <row r="11314" spans="2:2" x14ac:dyDescent="0.35">
      <c r="B11314"/>
    </row>
    <row r="11315" spans="2:2" x14ac:dyDescent="0.35">
      <c r="B11315"/>
    </row>
    <row r="11316" spans="2:2" x14ac:dyDescent="0.35">
      <c r="B11316"/>
    </row>
    <row r="11317" spans="2:2" x14ac:dyDescent="0.35">
      <c r="B11317"/>
    </row>
    <row r="11318" spans="2:2" x14ac:dyDescent="0.35">
      <c r="B11318"/>
    </row>
    <row r="11319" spans="2:2" x14ac:dyDescent="0.35">
      <c r="B11319"/>
    </row>
    <row r="11320" spans="2:2" x14ac:dyDescent="0.35">
      <c r="B11320"/>
    </row>
    <row r="11321" spans="2:2" x14ac:dyDescent="0.35">
      <c r="B11321"/>
    </row>
    <row r="11322" spans="2:2" x14ac:dyDescent="0.35">
      <c r="B11322"/>
    </row>
    <row r="11323" spans="2:2" x14ac:dyDescent="0.35">
      <c r="B11323"/>
    </row>
    <row r="11324" spans="2:2" x14ac:dyDescent="0.35">
      <c r="B11324"/>
    </row>
    <row r="11325" spans="2:2" x14ac:dyDescent="0.35">
      <c r="B11325"/>
    </row>
    <row r="11326" spans="2:2" x14ac:dyDescent="0.35">
      <c r="B11326"/>
    </row>
    <row r="11327" spans="2:2" x14ac:dyDescent="0.35">
      <c r="B11327"/>
    </row>
    <row r="11328" spans="2:2" x14ac:dyDescent="0.35">
      <c r="B11328"/>
    </row>
    <row r="11329" spans="2:2" x14ac:dyDescent="0.35">
      <c r="B11329"/>
    </row>
    <row r="11330" spans="2:2" x14ac:dyDescent="0.35">
      <c r="B11330"/>
    </row>
    <row r="11331" spans="2:2" x14ac:dyDescent="0.35">
      <c r="B11331"/>
    </row>
    <row r="11332" spans="2:2" x14ac:dyDescent="0.35">
      <c r="B11332"/>
    </row>
    <row r="11333" spans="2:2" x14ac:dyDescent="0.35">
      <c r="B11333"/>
    </row>
    <row r="11334" spans="2:2" x14ac:dyDescent="0.35">
      <c r="B11334"/>
    </row>
    <row r="11335" spans="2:2" x14ac:dyDescent="0.35">
      <c r="B11335"/>
    </row>
    <row r="11336" spans="2:2" x14ac:dyDescent="0.35">
      <c r="B11336"/>
    </row>
    <row r="11337" spans="2:2" x14ac:dyDescent="0.35">
      <c r="B11337"/>
    </row>
    <row r="11338" spans="2:2" x14ac:dyDescent="0.35">
      <c r="B11338"/>
    </row>
    <row r="11339" spans="2:2" x14ac:dyDescent="0.35">
      <c r="B11339"/>
    </row>
    <row r="11340" spans="2:2" x14ac:dyDescent="0.35">
      <c r="B11340"/>
    </row>
    <row r="11341" spans="2:2" x14ac:dyDescent="0.35">
      <c r="B11341"/>
    </row>
    <row r="11342" spans="2:2" x14ac:dyDescent="0.35">
      <c r="B11342"/>
    </row>
    <row r="11343" spans="2:2" x14ac:dyDescent="0.35">
      <c r="B11343"/>
    </row>
    <row r="11344" spans="2:2" x14ac:dyDescent="0.35">
      <c r="B11344"/>
    </row>
    <row r="11345" spans="1:2" x14ac:dyDescent="0.35">
      <c r="B11345"/>
    </row>
    <row r="11346" spans="1:2" x14ac:dyDescent="0.35">
      <c r="A11346" s="36"/>
      <c r="B11346" s="36"/>
    </row>
    <row r="11347" spans="1:2" x14ac:dyDescent="0.35">
      <c r="B11347"/>
    </row>
    <row r="11348" spans="1:2" x14ac:dyDescent="0.35">
      <c r="B11348"/>
    </row>
    <row r="11349" spans="1:2" x14ac:dyDescent="0.35">
      <c r="B11349"/>
    </row>
    <row r="11350" spans="1:2" x14ac:dyDescent="0.35">
      <c r="B11350"/>
    </row>
    <row r="11351" spans="1:2" x14ac:dyDescent="0.35">
      <c r="B11351"/>
    </row>
    <row r="11352" spans="1:2" x14ac:dyDescent="0.35">
      <c r="B11352"/>
    </row>
    <row r="11353" spans="1:2" x14ac:dyDescent="0.35">
      <c r="B11353"/>
    </row>
    <row r="11354" spans="1:2" x14ac:dyDescent="0.35">
      <c r="B11354"/>
    </row>
    <row r="11355" spans="1:2" x14ac:dyDescent="0.35">
      <c r="B11355"/>
    </row>
    <row r="11356" spans="1:2" x14ac:dyDescent="0.35">
      <c r="B11356"/>
    </row>
    <row r="11357" spans="1:2" x14ac:dyDescent="0.35">
      <c r="B11357"/>
    </row>
    <row r="11358" spans="1:2" x14ac:dyDescent="0.35">
      <c r="B11358"/>
    </row>
    <row r="11359" spans="1:2" x14ac:dyDescent="0.35">
      <c r="B11359"/>
    </row>
    <row r="11360" spans="1:2" x14ac:dyDescent="0.35">
      <c r="B11360"/>
    </row>
    <row r="11361" spans="2:2" x14ac:dyDescent="0.35">
      <c r="B11361"/>
    </row>
    <row r="11362" spans="2:2" x14ac:dyDescent="0.35">
      <c r="B11362"/>
    </row>
    <row r="11363" spans="2:2" x14ac:dyDescent="0.35">
      <c r="B11363"/>
    </row>
    <row r="11364" spans="2:2" x14ac:dyDescent="0.35">
      <c r="B11364"/>
    </row>
    <row r="11365" spans="2:2" x14ac:dyDescent="0.35">
      <c r="B11365"/>
    </row>
    <row r="11366" spans="2:2" x14ac:dyDescent="0.35">
      <c r="B11366"/>
    </row>
    <row r="11367" spans="2:2" x14ac:dyDescent="0.35">
      <c r="B11367"/>
    </row>
    <row r="11368" spans="2:2" x14ac:dyDescent="0.35">
      <c r="B11368"/>
    </row>
    <row r="11369" spans="2:2" x14ac:dyDescent="0.35">
      <c r="B11369"/>
    </row>
    <row r="11370" spans="2:2" x14ac:dyDescent="0.35">
      <c r="B11370"/>
    </row>
    <row r="11371" spans="2:2" x14ac:dyDescent="0.35">
      <c r="B11371"/>
    </row>
    <row r="11372" spans="2:2" x14ac:dyDescent="0.35">
      <c r="B11372"/>
    </row>
    <row r="11373" spans="2:2" x14ac:dyDescent="0.35">
      <c r="B11373"/>
    </row>
    <row r="11374" spans="2:2" x14ac:dyDescent="0.35">
      <c r="B11374"/>
    </row>
    <row r="11375" spans="2:2" x14ac:dyDescent="0.35">
      <c r="B11375"/>
    </row>
    <row r="11376" spans="2:2" x14ac:dyDescent="0.35">
      <c r="B11376"/>
    </row>
    <row r="11377" spans="1:2" x14ac:dyDescent="0.35">
      <c r="B11377"/>
    </row>
    <row r="11378" spans="1:2" x14ac:dyDescent="0.35">
      <c r="B11378"/>
    </row>
    <row r="11379" spans="1:2" x14ac:dyDescent="0.35">
      <c r="B11379"/>
    </row>
    <row r="11380" spans="1:2" x14ac:dyDescent="0.35">
      <c r="A11380" s="36"/>
      <c r="B11380" s="36"/>
    </row>
    <row r="11381" spans="1:2" x14ac:dyDescent="0.35">
      <c r="B11381"/>
    </row>
    <row r="11382" spans="1:2" x14ac:dyDescent="0.35">
      <c r="B11382"/>
    </row>
    <row r="11383" spans="1:2" x14ac:dyDescent="0.35">
      <c r="B11383"/>
    </row>
    <row r="11384" spans="1:2" x14ac:dyDescent="0.35">
      <c r="B11384"/>
    </row>
    <row r="11385" spans="1:2" x14ac:dyDescent="0.35">
      <c r="B11385"/>
    </row>
    <row r="11386" spans="1:2" x14ac:dyDescent="0.35">
      <c r="B11386"/>
    </row>
    <row r="11387" spans="1:2" x14ac:dyDescent="0.35">
      <c r="B11387"/>
    </row>
    <row r="11388" spans="1:2" x14ac:dyDescent="0.35">
      <c r="B11388"/>
    </row>
    <row r="11389" spans="1:2" x14ac:dyDescent="0.35">
      <c r="B11389"/>
    </row>
    <row r="11390" spans="1:2" x14ac:dyDescent="0.35">
      <c r="B11390"/>
    </row>
    <row r="11391" spans="1:2" x14ac:dyDescent="0.35">
      <c r="B11391"/>
    </row>
    <row r="11392" spans="1:2" x14ac:dyDescent="0.35">
      <c r="B11392"/>
    </row>
    <row r="11393" spans="2:2" x14ac:dyDescent="0.35">
      <c r="B11393"/>
    </row>
    <row r="11394" spans="2:2" x14ac:dyDescent="0.35">
      <c r="B11394"/>
    </row>
    <row r="11395" spans="2:2" x14ac:dyDescent="0.35">
      <c r="B11395"/>
    </row>
    <row r="11396" spans="2:2" x14ac:dyDescent="0.35">
      <c r="B11396"/>
    </row>
    <row r="11397" spans="2:2" x14ac:dyDescent="0.35">
      <c r="B11397"/>
    </row>
    <row r="11398" spans="2:2" x14ac:dyDescent="0.35">
      <c r="B11398"/>
    </row>
    <row r="11399" spans="2:2" x14ac:dyDescent="0.35">
      <c r="B11399"/>
    </row>
    <row r="11400" spans="2:2" x14ac:dyDescent="0.35">
      <c r="B11400"/>
    </row>
    <row r="11401" spans="2:2" x14ac:dyDescent="0.35">
      <c r="B11401"/>
    </row>
    <row r="11402" spans="2:2" x14ac:dyDescent="0.35">
      <c r="B11402"/>
    </row>
    <row r="11403" spans="2:2" x14ac:dyDescent="0.35">
      <c r="B11403"/>
    </row>
    <row r="11404" spans="2:2" x14ac:dyDescent="0.35">
      <c r="B11404"/>
    </row>
    <row r="11405" spans="2:2" x14ac:dyDescent="0.35">
      <c r="B11405"/>
    </row>
    <row r="11406" spans="2:2" x14ac:dyDescent="0.35">
      <c r="B11406"/>
    </row>
    <row r="11407" spans="2:2" x14ac:dyDescent="0.35">
      <c r="B11407"/>
    </row>
    <row r="11408" spans="2:2" x14ac:dyDescent="0.35">
      <c r="B11408"/>
    </row>
    <row r="11409" spans="1:2" x14ac:dyDescent="0.35">
      <c r="B11409"/>
    </row>
    <row r="11410" spans="1:2" x14ac:dyDescent="0.35">
      <c r="B11410"/>
    </row>
    <row r="11411" spans="1:2" x14ac:dyDescent="0.35">
      <c r="B11411"/>
    </row>
    <row r="11412" spans="1:2" x14ac:dyDescent="0.35">
      <c r="B11412"/>
    </row>
    <row r="11413" spans="1:2" x14ac:dyDescent="0.35">
      <c r="B11413"/>
    </row>
    <row r="11414" spans="1:2" x14ac:dyDescent="0.35">
      <c r="A11414" s="36"/>
      <c r="B11414" s="36"/>
    </row>
    <row r="11415" spans="1:2" x14ac:dyDescent="0.35">
      <c r="B11415"/>
    </row>
    <row r="11416" spans="1:2" x14ac:dyDescent="0.35">
      <c r="B11416"/>
    </row>
    <row r="11417" spans="1:2" x14ac:dyDescent="0.35">
      <c r="B11417"/>
    </row>
    <row r="11418" spans="1:2" x14ac:dyDescent="0.35">
      <c r="B11418"/>
    </row>
    <row r="11419" spans="1:2" x14ac:dyDescent="0.35">
      <c r="B11419"/>
    </row>
    <row r="11420" spans="1:2" x14ac:dyDescent="0.35">
      <c r="B11420"/>
    </row>
    <row r="11421" spans="1:2" x14ac:dyDescent="0.35">
      <c r="B11421"/>
    </row>
    <row r="11422" spans="1:2" x14ac:dyDescent="0.35">
      <c r="B11422"/>
    </row>
    <row r="11423" spans="1:2" x14ac:dyDescent="0.35">
      <c r="B11423"/>
    </row>
    <row r="11424" spans="1:2" x14ac:dyDescent="0.35">
      <c r="B11424"/>
    </row>
    <row r="11425" spans="2:2" x14ac:dyDescent="0.35">
      <c r="B11425"/>
    </row>
    <row r="11426" spans="2:2" x14ac:dyDescent="0.35">
      <c r="B11426"/>
    </row>
    <row r="11427" spans="2:2" x14ac:dyDescent="0.35">
      <c r="B11427"/>
    </row>
    <row r="11428" spans="2:2" x14ac:dyDescent="0.35">
      <c r="B11428"/>
    </row>
    <row r="11429" spans="2:2" x14ac:dyDescent="0.35">
      <c r="B11429"/>
    </row>
    <row r="11430" spans="2:2" x14ac:dyDescent="0.35">
      <c r="B11430"/>
    </row>
    <row r="11431" spans="2:2" x14ac:dyDescent="0.35">
      <c r="B11431"/>
    </row>
    <row r="11432" spans="2:2" x14ac:dyDescent="0.35">
      <c r="B11432"/>
    </row>
    <row r="11433" spans="2:2" x14ac:dyDescent="0.35">
      <c r="B11433"/>
    </row>
    <row r="11434" spans="2:2" x14ac:dyDescent="0.35">
      <c r="B11434"/>
    </row>
    <row r="11435" spans="2:2" x14ac:dyDescent="0.35">
      <c r="B11435"/>
    </row>
    <row r="11436" spans="2:2" x14ac:dyDescent="0.35">
      <c r="B11436"/>
    </row>
    <row r="11437" spans="2:2" x14ac:dyDescent="0.35">
      <c r="B11437"/>
    </row>
    <row r="11438" spans="2:2" x14ac:dyDescent="0.35">
      <c r="B11438"/>
    </row>
    <row r="11439" spans="2:2" x14ac:dyDescent="0.35">
      <c r="B11439"/>
    </row>
    <row r="11440" spans="2:2" x14ac:dyDescent="0.35">
      <c r="B11440"/>
    </row>
    <row r="11441" spans="1:2" x14ac:dyDescent="0.35">
      <c r="B11441"/>
    </row>
    <row r="11442" spans="1:2" x14ac:dyDescent="0.35">
      <c r="B11442"/>
    </row>
    <row r="11443" spans="1:2" x14ac:dyDescent="0.35">
      <c r="B11443"/>
    </row>
    <row r="11444" spans="1:2" x14ac:dyDescent="0.35">
      <c r="B11444"/>
    </row>
    <row r="11445" spans="1:2" x14ac:dyDescent="0.35">
      <c r="B11445"/>
    </row>
    <row r="11446" spans="1:2" x14ac:dyDescent="0.35">
      <c r="B11446"/>
    </row>
    <row r="11447" spans="1:2" x14ac:dyDescent="0.35">
      <c r="B11447"/>
    </row>
    <row r="11448" spans="1:2" x14ac:dyDescent="0.35">
      <c r="A11448" s="36"/>
      <c r="B11448" s="36"/>
    </row>
    <row r="11449" spans="1:2" x14ac:dyDescent="0.35">
      <c r="B11449"/>
    </row>
    <row r="11450" spans="1:2" x14ac:dyDescent="0.35">
      <c r="B11450"/>
    </row>
    <row r="11451" spans="1:2" x14ac:dyDescent="0.35">
      <c r="B11451"/>
    </row>
    <row r="11452" spans="1:2" x14ac:dyDescent="0.35">
      <c r="B11452"/>
    </row>
    <row r="11453" spans="1:2" x14ac:dyDescent="0.35">
      <c r="B11453"/>
    </row>
    <row r="11454" spans="1:2" x14ac:dyDescent="0.35">
      <c r="B11454"/>
    </row>
    <row r="11455" spans="1:2" x14ac:dyDescent="0.35">
      <c r="B11455"/>
    </row>
    <row r="11456" spans="1:2" x14ac:dyDescent="0.35">
      <c r="B11456"/>
    </row>
    <row r="11457" spans="2:2" x14ac:dyDescent="0.35">
      <c r="B11457"/>
    </row>
    <row r="11458" spans="2:2" x14ac:dyDescent="0.35">
      <c r="B11458"/>
    </row>
    <row r="11459" spans="2:2" x14ac:dyDescent="0.35">
      <c r="B11459"/>
    </row>
    <row r="11460" spans="2:2" x14ac:dyDescent="0.35">
      <c r="B11460"/>
    </row>
    <row r="11461" spans="2:2" x14ac:dyDescent="0.35">
      <c r="B11461"/>
    </row>
    <row r="11462" spans="2:2" x14ac:dyDescent="0.35">
      <c r="B11462"/>
    </row>
    <row r="11463" spans="2:2" x14ac:dyDescent="0.35">
      <c r="B11463"/>
    </row>
    <row r="11464" spans="2:2" x14ac:dyDescent="0.35">
      <c r="B11464"/>
    </row>
    <row r="11465" spans="2:2" x14ac:dyDescent="0.35">
      <c r="B11465"/>
    </row>
    <row r="11466" spans="2:2" x14ac:dyDescent="0.35">
      <c r="B11466"/>
    </row>
    <row r="11467" spans="2:2" x14ac:dyDescent="0.35">
      <c r="B11467"/>
    </row>
    <row r="11468" spans="2:2" x14ac:dyDescent="0.35">
      <c r="B11468"/>
    </row>
    <row r="11469" spans="2:2" x14ac:dyDescent="0.35">
      <c r="B11469"/>
    </row>
    <row r="11470" spans="2:2" x14ac:dyDescent="0.35">
      <c r="B11470"/>
    </row>
    <row r="11471" spans="2:2" x14ac:dyDescent="0.35">
      <c r="B11471"/>
    </row>
    <row r="11472" spans="2:2" x14ac:dyDescent="0.35">
      <c r="B11472"/>
    </row>
    <row r="11473" spans="1:2" x14ac:dyDescent="0.35">
      <c r="B11473"/>
    </row>
    <row r="11474" spans="1:2" x14ac:dyDescent="0.35">
      <c r="B11474"/>
    </row>
    <row r="11475" spans="1:2" x14ac:dyDescent="0.35">
      <c r="B11475"/>
    </row>
    <row r="11476" spans="1:2" x14ac:dyDescent="0.35">
      <c r="B11476"/>
    </row>
    <row r="11477" spans="1:2" x14ac:dyDescent="0.35">
      <c r="B11477"/>
    </row>
    <row r="11478" spans="1:2" x14ac:dyDescent="0.35">
      <c r="B11478"/>
    </row>
    <row r="11479" spans="1:2" x14ac:dyDescent="0.35">
      <c r="B11479"/>
    </row>
    <row r="11480" spans="1:2" x14ac:dyDescent="0.35">
      <c r="B11480"/>
    </row>
    <row r="11481" spans="1:2" x14ac:dyDescent="0.35">
      <c r="B11481"/>
    </row>
    <row r="11482" spans="1:2" x14ac:dyDescent="0.35">
      <c r="A11482" s="36"/>
      <c r="B11482" s="36"/>
    </row>
    <row r="11483" spans="1:2" x14ac:dyDescent="0.35">
      <c r="B11483"/>
    </row>
    <row r="11484" spans="1:2" x14ac:dyDescent="0.35">
      <c r="B11484"/>
    </row>
    <row r="11485" spans="1:2" x14ac:dyDescent="0.35">
      <c r="B11485"/>
    </row>
    <row r="11486" spans="1:2" x14ac:dyDescent="0.35">
      <c r="B11486"/>
    </row>
    <row r="11487" spans="1:2" x14ac:dyDescent="0.35">
      <c r="B11487"/>
    </row>
    <row r="11488" spans="1:2" x14ac:dyDescent="0.35">
      <c r="B11488"/>
    </row>
    <row r="11489" spans="2:2" x14ac:dyDescent="0.35">
      <c r="B11489"/>
    </row>
    <row r="11490" spans="2:2" x14ac:dyDescent="0.35">
      <c r="B11490"/>
    </row>
    <row r="11491" spans="2:2" x14ac:dyDescent="0.35">
      <c r="B11491"/>
    </row>
    <row r="11492" spans="2:2" x14ac:dyDescent="0.35">
      <c r="B11492"/>
    </row>
    <row r="11493" spans="2:2" x14ac:dyDescent="0.35">
      <c r="B11493"/>
    </row>
    <row r="11494" spans="2:2" x14ac:dyDescent="0.35">
      <c r="B11494"/>
    </row>
    <row r="11495" spans="2:2" x14ac:dyDescent="0.35">
      <c r="B11495"/>
    </row>
    <row r="11496" spans="2:2" x14ac:dyDescent="0.35">
      <c r="B11496"/>
    </row>
    <row r="11497" spans="2:2" x14ac:dyDescent="0.35">
      <c r="B11497"/>
    </row>
    <row r="11498" spans="2:2" x14ac:dyDescent="0.35">
      <c r="B11498"/>
    </row>
    <row r="11499" spans="2:2" x14ac:dyDescent="0.35">
      <c r="B11499"/>
    </row>
    <row r="11500" spans="2:2" x14ac:dyDescent="0.35">
      <c r="B11500"/>
    </row>
    <row r="11501" spans="2:2" x14ac:dyDescent="0.35">
      <c r="B11501"/>
    </row>
    <row r="11502" spans="2:2" x14ac:dyDescent="0.35">
      <c r="B11502"/>
    </row>
    <row r="11503" spans="2:2" x14ac:dyDescent="0.35">
      <c r="B11503"/>
    </row>
    <row r="11504" spans="2:2" x14ac:dyDescent="0.35">
      <c r="B11504"/>
    </row>
    <row r="11505" spans="1:2" x14ac:dyDescent="0.35">
      <c r="B11505"/>
    </row>
    <row r="11506" spans="1:2" x14ac:dyDescent="0.35">
      <c r="B11506"/>
    </row>
    <row r="11507" spans="1:2" x14ac:dyDescent="0.35">
      <c r="B11507"/>
    </row>
    <row r="11508" spans="1:2" x14ac:dyDescent="0.35">
      <c r="B11508"/>
    </row>
    <row r="11509" spans="1:2" x14ac:dyDescent="0.35">
      <c r="B11509"/>
    </row>
    <row r="11510" spans="1:2" x14ac:dyDescent="0.35">
      <c r="B11510"/>
    </row>
    <row r="11511" spans="1:2" x14ac:dyDescent="0.35">
      <c r="B11511"/>
    </row>
    <row r="11512" spans="1:2" x14ac:dyDescent="0.35">
      <c r="B11512"/>
    </row>
    <row r="11513" spans="1:2" x14ac:dyDescent="0.35">
      <c r="B11513"/>
    </row>
    <row r="11514" spans="1:2" x14ac:dyDescent="0.35">
      <c r="B11514"/>
    </row>
    <row r="11515" spans="1:2" x14ac:dyDescent="0.35">
      <c r="B11515"/>
    </row>
    <row r="11516" spans="1:2" x14ac:dyDescent="0.35">
      <c r="A11516" s="36"/>
      <c r="B11516" s="36"/>
    </row>
    <row r="11517" spans="1:2" x14ac:dyDescent="0.35">
      <c r="B11517"/>
    </row>
    <row r="11518" spans="1:2" x14ac:dyDescent="0.35">
      <c r="B11518"/>
    </row>
    <row r="11519" spans="1:2" x14ac:dyDescent="0.35">
      <c r="B11519"/>
    </row>
    <row r="11520" spans="1:2" x14ac:dyDescent="0.35">
      <c r="B11520"/>
    </row>
    <row r="11521" spans="2:2" x14ac:dyDescent="0.35">
      <c r="B11521"/>
    </row>
    <row r="11522" spans="2:2" x14ac:dyDescent="0.35">
      <c r="B11522"/>
    </row>
    <row r="11523" spans="2:2" x14ac:dyDescent="0.35">
      <c r="B11523"/>
    </row>
    <row r="11524" spans="2:2" x14ac:dyDescent="0.35">
      <c r="B11524"/>
    </row>
    <row r="11525" spans="2:2" x14ac:dyDescent="0.35">
      <c r="B11525"/>
    </row>
    <row r="11526" spans="2:2" x14ac:dyDescent="0.35">
      <c r="B11526"/>
    </row>
    <row r="11527" spans="2:2" x14ac:dyDescent="0.35">
      <c r="B11527"/>
    </row>
    <row r="11528" spans="2:2" x14ac:dyDescent="0.35">
      <c r="B11528"/>
    </row>
    <row r="11529" spans="2:2" x14ac:dyDescent="0.35">
      <c r="B11529"/>
    </row>
    <row r="11530" spans="2:2" x14ac:dyDescent="0.35">
      <c r="B11530"/>
    </row>
    <row r="11531" spans="2:2" x14ac:dyDescent="0.35">
      <c r="B11531"/>
    </row>
    <row r="11532" spans="2:2" x14ac:dyDescent="0.35">
      <c r="B11532"/>
    </row>
    <row r="11533" spans="2:2" x14ac:dyDescent="0.35">
      <c r="B11533"/>
    </row>
    <row r="11534" spans="2:2" x14ac:dyDescent="0.35">
      <c r="B11534"/>
    </row>
    <row r="11535" spans="2:2" x14ac:dyDescent="0.35">
      <c r="B11535"/>
    </row>
    <row r="11536" spans="2:2" x14ac:dyDescent="0.35">
      <c r="B11536"/>
    </row>
    <row r="11537" spans="1:2" x14ac:dyDescent="0.35">
      <c r="B11537"/>
    </row>
    <row r="11538" spans="1:2" x14ac:dyDescent="0.35">
      <c r="B11538"/>
    </row>
    <row r="11539" spans="1:2" x14ac:dyDescent="0.35">
      <c r="B11539"/>
    </row>
    <row r="11540" spans="1:2" x14ac:dyDescent="0.35">
      <c r="B11540"/>
    </row>
    <row r="11541" spans="1:2" x14ac:dyDescent="0.35">
      <c r="B11541"/>
    </row>
    <row r="11542" spans="1:2" x14ac:dyDescent="0.35">
      <c r="B11542"/>
    </row>
    <row r="11543" spans="1:2" x14ac:dyDescent="0.35">
      <c r="B11543"/>
    </row>
    <row r="11544" spans="1:2" x14ac:dyDescent="0.35">
      <c r="B11544"/>
    </row>
    <row r="11545" spans="1:2" x14ac:dyDescent="0.35">
      <c r="B11545"/>
    </row>
    <row r="11546" spans="1:2" x14ac:dyDescent="0.35">
      <c r="B11546"/>
    </row>
    <row r="11547" spans="1:2" x14ac:dyDescent="0.35">
      <c r="B11547"/>
    </row>
    <row r="11548" spans="1:2" x14ac:dyDescent="0.35">
      <c r="B11548"/>
    </row>
    <row r="11549" spans="1:2" x14ac:dyDescent="0.35">
      <c r="B11549"/>
    </row>
    <row r="11550" spans="1:2" x14ac:dyDescent="0.35">
      <c r="A11550" s="36"/>
      <c r="B11550" s="36"/>
    </row>
    <row r="11551" spans="1:2" x14ac:dyDescent="0.35">
      <c r="B11551"/>
    </row>
    <row r="11552" spans="1:2" x14ac:dyDescent="0.35">
      <c r="B11552"/>
    </row>
    <row r="11553" spans="2:2" x14ac:dyDescent="0.35">
      <c r="B11553"/>
    </row>
    <row r="11554" spans="2:2" x14ac:dyDescent="0.35">
      <c r="B11554"/>
    </row>
    <row r="11555" spans="2:2" x14ac:dyDescent="0.35">
      <c r="B11555"/>
    </row>
    <row r="11556" spans="2:2" x14ac:dyDescent="0.35">
      <c r="B11556"/>
    </row>
    <row r="11557" spans="2:2" x14ac:dyDescent="0.35">
      <c r="B11557"/>
    </row>
    <row r="11558" spans="2:2" x14ac:dyDescent="0.35">
      <c r="B11558"/>
    </row>
    <row r="11559" spans="2:2" x14ac:dyDescent="0.35">
      <c r="B11559"/>
    </row>
    <row r="11560" spans="2:2" x14ac:dyDescent="0.35">
      <c r="B11560"/>
    </row>
    <row r="11561" spans="2:2" x14ac:dyDescent="0.35">
      <c r="B11561"/>
    </row>
    <row r="11562" spans="2:2" x14ac:dyDescent="0.35">
      <c r="B11562"/>
    </row>
    <row r="11563" spans="2:2" x14ac:dyDescent="0.35">
      <c r="B11563"/>
    </row>
    <row r="11564" spans="2:2" x14ac:dyDescent="0.35">
      <c r="B11564"/>
    </row>
    <row r="11565" spans="2:2" x14ac:dyDescent="0.35">
      <c r="B11565"/>
    </row>
    <row r="11566" spans="2:2" x14ac:dyDescent="0.35">
      <c r="B11566"/>
    </row>
    <row r="11567" spans="2:2" x14ac:dyDescent="0.35">
      <c r="B11567"/>
    </row>
    <row r="11568" spans="2:2" x14ac:dyDescent="0.35">
      <c r="B11568"/>
    </row>
    <row r="11569" spans="1:2" x14ac:dyDescent="0.35">
      <c r="B11569"/>
    </row>
    <row r="11570" spans="1:2" x14ac:dyDescent="0.35">
      <c r="B11570"/>
    </row>
    <row r="11571" spans="1:2" x14ac:dyDescent="0.35">
      <c r="B11571"/>
    </row>
    <row r="11572" spans="1:2" x14ac:dyDescent="0.35">
      <c r="B11572"/>
    </row>
    <row r="11573" spans="1:2" x14ac:dyDescent="0.35">
      <c r="B11573"/>
    </row>
    <row r="11574" spans="1:2" x14ac:dyDescent="0.35">
      <c r="B11574"/>
    </row>
    <row r="11575" spans="1:2" x14ac:dyDescent="0.35">
      <c r="B11575"/>
    </row>
    <row r="11576" spans="1:2" x14ac:dyDescent="0.35">
      <c r="B11576"/>
    </row>
    <row r="11577" spans="1:2" x14ac:dyDescent="0.35">
      <c r="B11577"/>
    </row>
    <row r="11578" spans="1:2" x14ac:dyDescent="0.35">
      <c r="B11578"/>
    </row>
    <row r="11579" spans="1:2" x14ac:dyDescent="0.35">
      <c r="B11579"/>
    </row>
    <row r="11580" spans="1:2" x14ac:dyDescent="0.35">
      <c r="B11580"/>
    </row>
    <row r="11581" spans="1:2" x14ac:dyDescent="0.35">
      <c r="B11581"/>
    </row>
    <row r="11582" spans="1:2" x14ac:dyDescent="0.35">
      <c r="B11582"/>
    </row>
    <row r="11583" spans="1:2" x14ac:dyDescent="0.35">
      <c r="B11583"/>
    </row>
    <row r="11584" spans="1:2" x14ac:dyDescent="0.35">
      <c r="A11584" s="36"/>
      <c r="B11584" s="36"/>
    </row>
    <row r="11585" spans="2:2" x14ac:dyDescent="0.35">
      <c r="B11585"/>
    </row>
    <row r="11586" spans="2:2" x14ac:dyDescent="0.35">
      <c r="B11586"/>
    </row>
    <row r="11587" spans="2:2" x14ac:dyDescent="0.35">
      <c r="B11587"/>
    </row>
    <row r="11588" spans="2:2" x14ac:dyDescent="0.35">
      <c r="B11588"/>
    </row>
    <row r="11589" spans="2:2" x14ac:dyDescent="0.35">
      <c r="B11589"/>
    </row>
    <row r="11590" spans="2:2" x14ac:dyDescent="0.35">
      <c r="B11590"/>
    </row>
    <row r="11591" spans="2:2" x14ac:dyDescent="0.35">
      <c r="B11591"/>
    </row>
    <row r="11592" spans="2:2" x14ac:dyDescent="0.35">
      <c r="B11592"/>
    </row>
    <row r="11593" spans="2:2" x14ac:dyDescent="0.35">
      <c r="B11593"/>
    </row>
    <row r="11594" spans="2:2" x14ac:dyDescent="0.35">
      <c r="B11594"/>
    </row>
    <row r="11595" spans="2:2" x14ac:dyDescent="0.35">
      <c r="B11595"/>
    </row>
    <row r="11596" spans="2:2" x14ac:dyDescent="0.35">
      <c r="B11596"/>
    </row>
    <row r="11597" spans="2:2" x14ac:dyDescent="0.35">
      <c r="B11597"/>
    </row>
    <row r="11598" spans="2:2" x14ac:dyDescent="0.35">
      <c r="B11598"/>
    </row>
    <row r="11599" spans="2:2" x14ac:dyDescent="0.35">
      <c r="B11599"/>
    </row>
    <row r="11600" spans="2:2" x14ac:dyDescent="0.35">
      <c r="B11600"/>
    </row>
    <row r="11601" spans="2:2" x14ac:dyDescent="0.35">
      <c r="B11601"/>
    </row>
    <row r="11602" spans="2:2" x14ac:dyDescent="0.35">
      <c r="B11602"/>
    </row>
    <row r="11603" spans="2:2" x14ac:dyDescent="0.35">
      <c r="B11603"/>
    </row>
    <row r="11604" spans="2:2" x14ac:dyDescent="0.35">
      <c r="B11604"/>
    </row>
    <row r="11605" spans="2:2" x14ac:dyDescent="0.35">
      <c r="B11605"/>
    </row>
    <row r="11606" spans="2:2" x14ac:dyDescent="0.35">
      <c r="B11606"/>
    </row>
    <row r="11607" spans="2:2" x14ac:dyDescent="0.35">
      <c r="B11607"/>
    </row>
    <row r="11608" spans="2:2" x14ac:dyDescent="0.35">
      <c r="B11608"/>
    </row>
    <row r="11609" spans="2:2" x14ac:dyDescent="0.35">
      <c r="B11609"/>
    </row>
    <row r="11610" spans="2:2" x14ac:dyDescent="0.35">
      <c r="B11610"/>
    </row>
    <row r="11611" spans="2:2" x14ac:dyDescent="0.35">
      <c r="B11611"/>
    </row>
    <row r="11612" spans="2:2" x14ac:dyDescent="0.35">
      <c r="B11612"/>
    </row>
    <row r="11613" spans="2:2" x14ac:dyDescent="0.35">
      <c r="B11613"/>
    </row>
    <row r="11614" spans="2:2" x14ac:dyDescent="0.35">
      <c r="B11614"/>
    </row>
    <row r="11615" spans="2:2" x14ac:dyDescent="0.35">
      <c r="B11615"/>
    </row>
    <row r="11616" spans="2:2" x14ac:dyDescent="0.35">
      <c r="B11616"/>
    </row>
    <row r="11617" spans="1:2" x14ac:dyDescent="0.35">
      <c r="B11617"/>
    </row>
    <row r="11618" spans="1:2" x14ac:dyDescent="0.35">
      <c r="A11618" s="36"/>
      <c r="B11618" s="36"/>
    </row>
    <row r="11619" spans="1:2" x14ac:dyDescent="0.35">
      <c r="B11619"/>
    </row>
    <row r="11620" spans="1:2" x14ac:dyDescent="0.35">
      <c r="B11620"/>
    </row>
    <row r="11621" spans="1:2" x14ac:dyDescent="0.35">
      <c r="B11621"/>
    </row>
    <row r="11622" spans="1:2" x14ac:dyDescent="0.35">
      <c r="B11622"/>
    </row>
    <row r="11623" spans="1:2" x14ac:dyDescent="0.35">
      <c r="B11623"/>
    </row>
    <row r="11624" spans="1:2" x14ac:dyDescent="0.35">
      <c r="B11624"/>
    </row>
    <row r="11625" spans="1:2" x14ac:dyDescent="0.35">
      <c r="B11625"/>
    </row>
    <row r="11626" spans="1:2" x14ac:dyDescent="0.35">
      <c r="B11626"/>
    </row>
    <row r="11627" spans="1:2" x14ac:dyDescent="0.35">
      <c r="B11627"/>
    </row>
    <row r="11628" spans="1:2" x14ac:dyDescent="0.35">
      <c r="B11628"/>
    </row>
    <row r="11629" spans="1:2" x14ac:dyDescent="0.35">
      <c r="B11629"/>
    </row>
    <row r="11630" spans="1:2" x14ac:dyDescent="0.35">
      <c r="B11630"/>
    </row>
    <row r="11631" spans="1:2" x14ac:dyDescent="0.35">
      <c r="B11631"/>
    </row>
    <row r="11632" spans="1:2" x14ac:dyDescent="0.35">
      <c r="B11632"/>
    </row>
    <row r="11633" spans="2:2" x14ac:dyDescent="0.35">
      <c r="B11633"/>
    </row>
    <row r="11634" spans="2:2" x14ac:dyDescent="0.35">
      <c r="B11634"/>
    </row>
    <row r="11635" spans="2:2" x14ac:dyDescent="0.35">
      <c r="B11635"/>
    </row>
    <row r="11636" spans="2:2" x14ac:dyDescent="0.35">
      <c r="B11636"/>
    </row>
    <row r="11637" spans="2:2" x14ac:dyDescent="0.35">
      <c r="B11637"/>
    </row>
    <row r="11638" spans="2:2" x14ac:dyDescent="0.35">
      <c r="B11638"/>
    </row>
    <row r="11639" spans="2:2" x14ac:dyDescent="0.35">
      <c r="B11639"/>
    </row>
    <row r="11640" spans="2:2" x14ac:dyDescent="0.35">
      <c r="B11640"/>
    </row>
    <row r="11641" spans="2:2" x14ac:dyDescent="0.35">
      <c r="B11641"/>
    </row>
    <row r="11642" spans="2:2" x14ac:dyDescent="0.35">
      <c r="B11642"/>
    </row>
    <row r="11643" spans="2:2" x14ac:dyDescent="0.35">
      <c r="B11643"/>
    </row>
    <row r="11644" spans="2:2" x14ac:dyDescent="0.35">
      <c r="B11644"/>
    </row>
    <row r="11645" spans="2:2" x14ac:dyDescent="0.35">
      <c r="B11645"/>
    </row>
    <row r="11646" spans="2:2" x14ac:dyDescent="0.35">
      <c r="B11646"/>
    </row>
    <row r="11647" spans="2:2" x14ac:dyDescent="0.35">
      <c r="B11647"/>
    </row>
    <row r="11648" spans="2:2" x14ac:dyDescent="0.35">
      <c r="B11648"/>
    </row>
    <row r="11649" spans="1:2" x14ac:dyDescent="0.35">
      <c r="B11649"/>
    </row>
    <row r="11650" spans="1:2" x14ac:dyDescent="0.35">
      <c r="B11650"/>
    </row>
    <row r="11651" spans="1:2" x14ac:dyDescent="0.35">
      <c r="B11651"/>
    </row>
    <row r="11652" spans="1:2" x14ac:dyDescent="0.35">
      <c r="A11652" s="36"/>
      <c r="B11652" s="36"/>
    </row>
    <row r="11653" spans="1:2" x14ac:dyDescent="0.35">
      <c r="B11653"/>
    </row>
    <row r="11654" spans="1:2" x14ac:dyDescent="0.35">
      <c r="B11654"/>
    </row>
    <row r="11655" spans="1:2" x14ac:dyDescent="0.35">
      <c r="B11655"/>
    </row>
    <row r="11656" spans="1:2" x14ac:dyDescent="0.35">
      <c r="B11656"/>
    </row>
    <row r="11657" spans="1:2" x14ac:dyDescent="0.35">
      <c r="B11657"/>
    </row>
    <row r="11658" spans="1:2" x14ac:dyDescent="0.35">
      <c r="B11658"/>
    </row>
    <row r="11659" spans="1:2" x14ac:dyDescent="0.35">
      <c r="B11659"/>
    </row>
    <row r="11660" spans="1:2" x14ac:dyDescent="0.35">
      <c r="B11660"/>
    </row>
    <row r="11661" spans="1:2" x14ac:dyDescent="0.35">
      <c r="B11661"/>
    </row>
    <row r="11662" spans="1:2" x14ac:dyDescent="0.35">
      <c r="B11662"/>
    </row>
    <row r="11663" spans="1:2" x14ac:dyDescent="0.35">
      <c r="B11663"/>
    </row>
    <row r="11664" spans="1:2" x14ac:dyDescent="0.35">
      <c r="B11664"/>
    </row>
    <row r="11665" spans="2:2" x14ac:dyDescent="0.35">
      <c r="B11665"/>
    </row>
    <row r="11666" spans="2:2" x14ac:dyDescent="0.35">
      <c r="B11666"/>
    </row>
    <row r="11667" spans="2:2" x14ac:dyDescent="0.35">
      <c r="B11667"/>
    </row>
    <row r="11668" spans="2:2" x14ac:dyDescent="0.35">
      <c r="B11668"/>
    </row>
    <row r="11669" spans="2:2" x14ac:dyDescent="0.35">
      <c r="B11669"/>
    </row>
    <row r="11670" spans="2:2" x14ac:dyDescent="0.35">
      <c r="B11670"/>
    </row>
    <row r="11671" spans="2:2" x14ac:dyDescent="0.35">
      <c r="B11671"/>
    </row>
    <row r="11672" spans="2:2" x14ac:dyDescent="0.35">
      <c r="B11672"/>
    </row>
    <row r="11673" spans="2:2" x14ac:dyDescent="0.35">
      <c r="B11673"/>
    </row>
    <row r="11674" spans="2:2" x14ac:dyDescent="0.35">
      <c r="B11674"/>
    </row>
    <row r="11675" spans="2:2" x14ac:dyDescent="0.35">
      <c r="B11675"/>
    </row>
    <row r="11676" spans="2:2" x14ac:dyDescent="0.35">
      <c r="B11676"/>
    </row>
    <row r="11677" spans="2:2" x14ac:dyDescent="0.35">
      <c r="B11677"/>
    </row>
    <row r="11678" spans="2:2" x14ac:dyDescent="0.35">
      <c r="B11678"/>
    </row>
    <row r="11679" spans="2:2" x14ac:dyDescent="0.35">
      <c r="B11679"/>
    </row>
    <row r="11680" spans="2:2" x14ac:dyDescent="0.35">
      <c r="B11680"/>
    </row>
    <row r="11681" spans="1:2" x14ac:dyDescent="0.35">
      <c r="B11681"/>
    </row>
    <row r="11682" spans="1:2" x14ac:dyDescent="0.35">
      <c r="B11682"/>
    </row>
    <row r="11683" spans="1:2" x14ac:dyDescent="0.35">
      <c r="B11683"/>
    </row>
    <row r="11684" spans="1:2" x14ac:dyDescent="0.35">
      <c r="B11684"/>
    </row>
    <row r="11685" spans="1:2" x14ac:dyDescent="0.35">
      <c r="B11685"/>
    </row>
    <row r="11686" spans="1:2" x14ac:dyDescent="0.35">
      <c r="A11686" s="36"/>
      <c r="B11686" s="36"/>
    </row>
    <row r="11687" spans="1:2" x14ac:dyDescent="0.35">
      <c r="B11687"/>
    </row>
    <row r="11688" spans="1:2" x14ac:dyDescent="0.35">
      <c r="B11688"/>
    </row>
    <row r="11689" spans="1:2" x14ac:dyDescent="0.35">
      <c r="B11689"/>
    </row>
    <row r="11690" spans="1:2" x14ac:dyDescent="0.35">
      <c r="B11690"/>
    </row>
    <row r="11691" spans="1:2" x14ac:dyDescent="0.35">
      <c r="B11691"/>
    </row>
    <row r="11692" spans="1:2" x14ac:dyDescent="0.35">
      <c r="B11692"/>
    </row>
    <row r="11693" spans="1:2" x14ac:dyDescent="0.35">
      <c r="B11693"/>
    </row>
    <row r="11694" spans="1:2" x14ac:dyDescent="0.35">
      <c r="B11694"/>
    </row>
    <row r="11695" spans="1:2" x14ac:dyDescent="0.35">
      <c r="B11695"/>
    </row>
    <row r="11696" spans="1:2" x14ac:dyDescent="0.35">
      <c r="B11696"/>
    </row>
    <row r="11697" spans="2:2" x14ac:dyDescent="0.35">
      <c r="B11697"/>
    </row>
    <row r="11698" spans="2:2" x14ac:dyDescent="0.35">
      <c r="B11698"/>
    </row>
    <row r="11699" spans="2:2" x14ac:dyDescent="0.35">
      <c r="B11699"/>
    </row>
    <row r="11700" spans="2:2" x14ac:dyDescent="0.35">
      <c r="B11700"/>
    </row>
    <row r="11701" spans="2:2" x14ac:dyDescent="0.35">
      <c r="B11701"/>
    </row>
    <row r="11702" spans="2:2" x14ac:dyDescent="0.35">
      <c r="B11702"/>
    </row>
    <row r="11703" spans="2:2" x14ac:dyDescent="0.35">
      <c r="B11703"/>
    </row>
    <row r="11704" spans="2:2" x14ac:dyDescent="0.35">
      <c r="B11704"/>
    </row>
    <row r="11705" spans="2:2" x14ac:dyDescent="0.35">
      <c r="B11705"/>
    </row>
    <row r="11706" spans="2:2" x14ac:dyDescent="0.35">
      <c r="B11706"/>
    </row>
    <row r="11707" spans="2:2" x14ac:dyDescent="0.35">
      <c r="B11707"/>
    </row>
    <row r="11708" spans="2:2" x14ac:dyDescent="0.35">
      <c r="B11708"/>
    </row>
    <row r="11709" spans="2:2" x14ac:dyDescent="0.35">
      <c r="B11709"/>
    </row>
    <row r="11710" spans="2:2" x14ac:dyDescent="0.35">
      <c r="B11710"/>
    </row>
    <row r="11711" spans="2:2" x14ac:dyDescent="0.35">
      <c r="B11711"/>
    </row>
    <row r="11712" spans="2:2" x14ac:dyDescent="0.35">
      <c r="B11712"/>
    </row>
    <row r="11713" spans="1:2" x14ac:dyDescent="0.35">
      <c r="B11713"/>
    </row>
    <row r="11714" spans="1:2" x14ac:dyDescent="0.35">
      <c r="B11714"/>
    </row>
    <row r="11715" spans="1:2" x14ac:dyDescent="0.35">
      <c r="B11715"/>
    </row>
    <row r="11716" spans="1:2" x14ac:dyDescent="0.35">
      <c r="B11716"/>
    </row>
    <row r="11717" spans="1:2" x14ac:dyDescent="0.35">
      <c r="B11717"/>
    </row>
    <row r="11718" spans="1:2" x14ac:dyDescent="0.35">
      <c r="B11718"/>
    </row>
    <row r="11719" spans="1:2" x14ac:dyDescent="0.35">
      <c r="B11719"/>
    </row>
    <row r="11720" spans="1:2" x14ac:dyDescent="0.35">
      <c r="A11720" s="36"/>
      <c r="B11720" s="36"/>
    </row>
    <row r="11721" spans="1:2" x14ac:dyDescent="0.35">
      <c r="B11721"/>
    </row>
    <row r="11722" spans="1:2" x14ac:dyDescent="0.35">
      <c r="B11722"/>
    </row>
    <row r="11723" spans="1:2" x14ac:dyDescent="0.35">
      <c r="B11723"/>
    </row>
    <row r="11724" spans="1:2" x14ac:dyDescent="0.35">
      <c r="B11724"/>
    </row>
    <row r="11725" spans="1:2" x14ac:dyDescent="0.35">
      <c r="B11725"/>
    </row>
    <row r="11726" spans="1:2" x14ac:dyDescent="0.35">
      <c r="B11726"/>
    </row>
    <row r="11727" spans="1:2" x14ac:dyDescent="0.35">
      <c r="B11727"/>
    </row>
    <row r="11728" spans="1:2" x14ac:dyDescent="0.35">
      <c r="B11728"/>
    </row>
    <row r="11729" spans="2:2" x14ac:dyDescent="0.35">
      <c r="B11729"/>
    </row>
    <row r="11730" spans="2:2" x14ac:dyDescent="0.35">
      <c r="B11730"/>
    </row>
    <row r="11731" spans="2:2" x14ac:dyDescent="0.35">
      <c r="B11731"/>
    </row>
    <row r="11732" spans="2:2" x14ac:dyDescent="0.35">
      <c r="B11732"/>
    </row>
    <row r="11733" spans="2:2" x14ac:dyDescent="0.35">
      <c r="B11733"/>
    </row>
    <row r="11734" spans="2:2" x14ac:dyDescent="0.35">
      <c r="B11734"/>
    </row>
    <row r="11735" spans="2:2" x14ac:dyDescent="0.35">
      <c r="B11735"/>
    </row>
    <row r="11736" spans="2:2" x14ac:dyDescent="0.35">
      <c r="B11736"/>
    </row>
    <row r="11737" spans="2:2" x14ac:dyDescent="0.35">
      <c r="B11737"/>
    </row>
    <row r="11738" spans="2:2" x14ac:dyDescent="0.35">
      <c r="B11738"/>
    </row>
    <row r="11739" spans="2:2" x14ac:dyDescent="0.35">
      <c r="B11739"/>
    </row>
    <row r="11740" spans="2:2" x14ac:dyDescent="0.35">
      <c r="B11740"/>
    </row>
    <row r="11741" spans="2:2" x14ac:dyDescent="0.35">
      <c r="B11741"/>
    </row>
    <row r="11742" spans="2:2" x14ac:dyDescent="0.35">
      <c r="B11742"/>
    </row>
    <row r="11743" spans="2:2" x14ac:dyDescent="0.35">
      <c r="B11743"/>
    </row>
    <row r="11744" spans="2:2" x14ac:dyDescent="0.35">
      <c r="B11744"/>
    </row>
    <row r="11745" spans="1:2" x14ac:dyDescent="0.35">
      <c r="B11745"/>
    </row>
    <row r="11746" spans="1:2" x14ac:dyDescent="0.35">
      <c r="B11746"/>
    </row>
    <row r="11747" spans="1:2" x14ac:dyDescent="0.35">
      <c r="B11747"/>
    </row>
    <row r="11748" spans="1:2" x14ac:dyDescent="0.35">
      <c r="B11748"/>
    </row>
    <row r="11749" spans="1:2" x14ac:dyDescent="0.35">
      <c r="B11749"/>
    </row>
    <row r="11750" spans="1:2" x14ac:dyDescent="0.35">
      <c r="B11750"/>
    </row>
    <row r="11751" spans="1:2" x14ac:dyDescent="0.35">
      <c r="B11751"/>
    </row>
    <row r="11752" spans="1:2" x14ac:dyDescent="0.35">
      <c r="B11752"/>
    </row>
    <row r="11753" spans="1:2" x14ac:dyDescent="0.35">
      <c r="B11753"/>
    </row>
    <row r="11754" spans="1:2" x14ac:dyDescent="0.35">
      <c r="A11754" s="36"/>
      <c r="B11754" s="36"/>
    </row>
    <row r="11755" spans="1:2" x14ac:dyDescent="0.35">
      <c r="B11755"/>
    </row>
    <row r="11756" spans="1:2" x14ac:dyDescent="0.35">
      <c r="B11756"/>
    </row>
    <row r="11757" spans="1:2" x14ac:dyDescent="0.35">
      <c r="B11757"/>
    </row>
    <row r="11758" spans="1:2" x14ac:dyDescent="0.35">
      <c r="B11758"/>
    </row>
    <row r="11759" spans="1:2" x14ac:dyDescent="0.35">
      <c r="B11759"/>
    </row>
    <row r="11760" spans="1:2" x14ac:dyDescent="0.35">
      <c r="B11760"/>
    </row>
    <row r="11761" spans="2:2" x14ac:dyDescent="0.35">
      <c r="B11761"/>
    </row>
    <row r="11762" spans="2:2" x14ac:dyDescent="0.35">
      <c r="B11762"/>
    </row>
    <row r="11763" spans="2:2" x14ac:dyDescent="0.35">
      <c r="B11763"/>
    </row>
    <row r="11764" spans="2:2" x14ac:dyDescent="0.35">
      <c r="B11764"/>
    </row>
    <row r="11765" spans="2:2" x14ac:dyDescent="0.35">
      <c r="B11765"/>
    </row>
    <row r="11766" spans="2:2" x14ac:dyDescent="0.35">
      <c r="B11766"/>
    </row>
    <row r="11767" spans="2:2" x14ac:dyDescent="0.35">
      <c r="B11767"/>
    </row>
    <row r="11768" spans="2:2" x14ac:dyDescent="0.35">
      <c r="B11768"/>
    </row>
    <row r="11769" spans="2:2" x14ac:dyDescent="0.35">
      <c r="B11769"/>
    </row>
    <row r="11770" spans="2:2" x14ac:dyDescent="0.35">
      <c r="B11770"/>
    </row>
    <row r="11771" spans="2:2" x14ac:dyDescent="0.35">
      <c r="B11771"/>
    </row>
    <row r="11772" spans="2:2" x14ac:dyDescent="0.35">
      <c r="B11772"/>
    </row>
    <row r="11773" spans="2:2" x14ac:dyDescent="0.35">
      <c r="B11773"/>
    </row>
    <row r="11774" spans="2:2" x14ac:dyDescent="0.35">
      <c r="B11774"/>
    </row>
    <row r="11775" spans="2:2" x14ac:dyDescent="0.35">
      <c r="B11775"/>
    </row>
    <row r="11776" spans="2:2" x14ac:dyDescent="0.35">
      <c r="B11776"/>
    </row>
    <row r="11777" spans="1:2" x14ac:dyDescent="0.35">
      <c r="B11777"/>
    </row>
    <row r="11778" spans="1:2" x14ac:dyDescent="0.35">
      <c r="B11778"/>
    </row>
    <row r="11779" spans="1:2" x14ac:dyDescent="0.35">
      <c r="B11779"/>
    </row>
    <row r="11780" spans="1:2" x14ac:dyDescent="0.35">
      <c r="B11780"/>
    </row>
    <row r="11781" spans="1:2" x14ac:dyDescent="0.35">
      <c r="B11781"/>
    </row>
    <row r="11782" spans="1:2" x14ac:dyDescent="0.35">
      <c r="B11782"/>
    </row>
    <row r="11783" spans="1:2" x14ac:dyDescent="0.35">
      <c r="B11783"/>
    </row>
    <row r="11784" spans="1:2" x14ac:dyDescent="0.35">
      <c r="B11784"/>
    </row>
    <row r="11785" spans="1:2" x14ac:dyDescent="0.35">
      <c r="B11785"/>
    </row>
    <row r="11786" spans="1:2" x14ac:dyDescent="0.35">
      <c r="B11786"/>
    </row>
    <row r="11787" spans="1:2" x14ac:dyDescent="0.35">
      <c r="B11787"/>
    </row>
    <row r="11788" spans="1:2" x14ac:dyDescent="0.35">
      <c r="A11788" s="36"/>
      <c r="B11788" s="36"/>
    </row>
    <row r="11789" spans="1:2" x14ac:dyDescent="0.35">
      <c r="B11789"/>
    </row>
    <row r="11790" spans="1:2" x14ac:dyDescent="0.35">
      <c r="B11790"/>
    </row>
    <row r="11791" spans="1:2" x14ac:dyDescent="0.35">
      <c r="B11791"/>
    </row>
    <row r="11792" spans="1:2" x14ac:dyDescent="0.35">
      <c r="B11792"/>
    </row>
    <row r="11793" spans="2:2" x14ac:dyDescent="0.35">
      <c r="B11793"/>
    </row>
    <row r="11794" spans="2:2" x14ac:dyDescent="0.35">
      <c r="B11794"/>
    </row>
    <row r="11795" spans="2:2" x14ac:dyDescent="0.35">
      <c r="B11795"/>
    </row>
    <row r="11796" spans="2:2" x14ac:dyDescent="0.35">
      <c r="B11796"/>
    </row>
    <row r="11797" spans="2:2" x14ac:dyDescent="0.35">
      <c r="B11797"/>
    </row>
    <row r="11798" spans="2:2" x14ac:dyDescent="0.35">
      <c r="B11798"/>
    </row>
    <row r="11799" spans="2:2" x14ac:dyDescent="0.35">
      <c r="B11799"/>
    </row>
    <row r="11800" spans="2:2" x14ac:dyDescent="0.35">
      <c r="B11800"/>
    </row>
    <row r="11801" spans="2:2" x14ac:dyDescent="0.35">
      <c r="B11801"/>
    </row>
    <row r="11802" spans="2:2" x14ac:dyDescent="0.35">
      <c r="B11802"/>
    </row>
    <row r="11803" spans="2:2" x14ac:dyDescent="0.35">
      <c r="B11803"/>
    </row>
    <row r="11804" spans="2:2" x14ac:dyDescent="0.35">
      <c r="B11804"/>
    </row>
    <row r="11805" spans="2:2" x14ac:dyDescent="0.35">
      <c r="B11805"/>
    </row>
    <row r="11806" spans="2:2" x14ac:dyDescent="0.35">
      <c r="B11806"/>
    </row>
    <row r="11807" spans="2:2" x14ac:dyDescent="0.35">
      <c r="B11807"/>
    </row>
    <row r="11808" spans="2:2" x14ac:dyDescent="0.35">
      <c r="B11808"/>
    </row>
    <row r="11809" spans="1:2" x14ac:dyDescent="0.35">
      <c r="B11809"/>
    </row>
    <row r="11810" spans="1:2" x14ac:dyDescent="0.35">
      <c r="B11810"/>
    </row>
    <row r="11811" spans="1:2" x14ac:dyDescent="0.35">
      <c r="B11811"/>
    </row>
    <row r="11812" spans="1:2" x14ac:dyDescent="0.35">
      <c r="B11812"/>
    </row>
    <row r="11813" spans="1:2" x14ac:dyDescent="0.35">
      <c r="B11813"/>
    </row>
    <row r="11814" spans="1:2" x14ac:dyDescent="0.35">
      <c r="B11814"/>
    </row>
    <row r="11815" spans="1:2" x14ac:dyDescent="0.35">
      <c r="B11815"/>
    </row>
    <row r="11816" spans="1:2" x14ac:dyDescent="0.35">
      <c r="B11816"/>
    </row>
    <row r="11817" spans="1:2" x14ac:dyDescent="0.35">
      <c r="B11817"/>
    </row>
    <row r="11818" spans="1:2" x14ac:dyDescent="0.35">
      <c r="B11818"/>
    </row>
    <row r="11819" spans="1:2" x14ac:dyDescent="0.35">
      <c r="B11819"/>
    </row>
    <row r="11820" spans="1:2" x14ac:dyDescent="0.35">
      <c r="B11820"/>
    </row>
    <row r="11821" spans="1:2" x14ac:dyDescent="0.35">
      <c r="B11821"/>
    </row>
    <row r="11822" spans="1:2" x14ac:dyDescent="0.35">
      <c r="A11822" s="36"/>
      <c r="B11822" s="36"/>
    </row>
    <row r="11823" spans="1:2" x14ac:dyDescent="0.35">
      <c r="B11823"/>
    </row>
    <row r="11824" spans="1:2" x14ac:dyDescent="0.35">
      <c r="B11824"/>
    </row>
    <row r="11825" spans="2:2" x14ac:dyDescent="0.35">
      <c r="B11825"/>
    </row>
    <row r="11826" spans="2:2" x14ac:dyDescent="0.35">
      <c r="B11826"/>
    </row>
    <row r="11827" spans="2:2" x14ac:dyDescent="0.35">
      <c r="B11827"/>
    </row>
    <row r="11828" spans="2:2" x14ac:dyDescent="0.35">
      <c r="B11828"/>
    </row>
    <row r="11829" spans="2:2" x14ac:dyDescent="0.35">
      <c r="B11829"/>
    </row>
    <row r="11830" spans="2:2" x14ac:dyDescent="0.35">
      <c r="B11830"/>
    </row>
    <row r="11831" spans="2:2" x14ac:dyDescent="0.35">
      <c r="B11831"/>
    </row>
    <row r="11832" spans="2:2" x14ac:dyDescent="0.35">
      <c r="B11832"/>
    </row>
    <row r="11833" spans="2:2" x14ac:dyDescent="0.35">
      <c r="B11833"/>
    </row>
    <row r="11834" spans="2:2" x14ac:dyDescent="0.35">
      <c r="B11834"/>
    </row>
    <row r="11835" spans="2:2" x14ac:dyDescent="0.35">
      <c r="B11835"/>
    </row>
    <row r="11836" spans="2:2" x14ac:dyDescent="0.35">
      <c r="B11836"/>
    </row>
    <row r="11837" spans="2:2" x14ac:dyDescent="0.35">
      <c r="B11837"/>
    </row>
    <row r="11838" spans="2:2" x14ac:dyDescent="0.35">
      <c r="B11838"/>
    </row>
    <row r="11839" spans="2:2" x14ac:dyDescent="0.35">
      <c r="B11839"/>
    </row>
    <row r="11840" spans="2:2" x14ac:dyDescent="0.35">
      <c r="B11840"/>
    </row>
    <row r="11841" spans="1:2" x14ac:dyDescent="0.35">
      <c r="B11841"/>
    </row>
    <row r="11842" spans="1:2" x14ac:dyDescent="0.35">
      <c r="B11842"/>
    </row>
    <row r="11843" spans="1:2" x14ac:dyDescent="0.35">
      <c r="B11843"/>
    </row>
    <row r="11844" spans="1:2" x14ac:dyDescent="0.35">
      <c r="B11844"/>
    </row>
    <row r="11845" spans="1:2" x14ac:dyDescent="0.35">
      <c r="B11845"/>
    </row>
    <row r="11846" spans="1:2" x14ac:dyDescent="0.35">
      <c r="B11846"/>
    </row>
    <row r="11847" spans="1:2" x14ac:dyDescent="0.35">
      <c r="B11847"/>
    </row>
    <row r="11848" spans="1:2" x14ac:dyDescent="0.35">
      <c r="B11848"/>
    </row>
    <row r="11849" spans="1:2" x14ac:dyDescent="0.35">
      <c r="B11849"/>
    </row>
    <row r="11850" spans="1:2" x14ac:dyDescent="0.35">
      <c r="B11850"/>
    </row>
    <row r="11851" spans="1:2" x14ac:dyDescent="0.35">
      <c r="B11851"/>
    </row>
    <row r="11852" spans="1:2" x14ac:dyDescent="0.35">
      <c r="B11852"/>
    </row>
    <row r="11853" spans="1:2" x14ac:dyDescent="0.35">
      <c r="B11853"/>
    </row>
    <row r="11854" spans="1:2" x14ac:dyDescent="0.35">
      <c r="B11854"/>
    </row>
    <row r="11855" spans="1:2" x14ac:dyDescent="0.35">
      <c r="B11855"/>
    </row>
    <row r="11856" spans="1:2" x14ac:dyDescent="0.35">
      <c r="A11856" s="36"/>
      <c r="B11856" s="36"/>
    </row>
    <row r="11857" spans="2:2" x14ac:dyDescent="0.35">
      <c r="B11857"/>
    </row>
    <row r="11858" spans="2:2" x14ac:dyDescent="0.35">
      <c r="B11858"/>
    </row>
    <row r="11859" spans="2:2" x14ac:dyDescent="0.35">
      <c r="B11859"/>
    </row>
    <row r="11860" spans="2:2" x14ac:dyDescent="0.35">
      <c r="B11860"/>
    </row>
    <row r="11861" spans="2:2" x14ac:dyDescent="0.35">
      <c r="B11861"/>
    </row>
    <row r="11862" spans="2:2" x14ac:dyDescent="0.35">
      <c r="B11862"/>
    </row>
    <row r="11863" spans="2:2" x14ac:dyDescent="0.35">
      <c r="B11863"/>
    </row>
    <row r="11864" spans="2:2" x14ac:dyDescent="0.35">
      <c r="B11864"/>
    </row>
    <row r="11865" spans="2:2" x14ac:dyDescent="0.35">
      <c r="B11865"/>
    </row>
    <row r="11866" spans="2:2" x14ac:dyDescent="0.35">
      <c r="B11866"/>
    </row>
    <row r="11867" spans="2:2" x14ac:dyDescent="0.35">
      <c r="B11867"/>
    </row>
    <row r="11868" spans="2:2" x14ac:dyDescent="0.35">
      <c r="B11868"/>
    </row>
    <row r="11869" spans="2:2" x14ac:dyDescent="0.35">
      <c r="B11869"/>
    </row>
    <row r="11870" spans="2:2" x14ac:dyDescent="0.35">
      <c r="B11870"/>
    </row>
    <row r="11871" spans="2:2" x14ac:dyDescent="0.35">
      <c r="B11871"/>
    </row>
    <row r="11872" spans="2:2" x14ac:dyDescent="0.35">
      <c r="B11872"/>
    </row>
    <row r="11873" spans="2:2" x14ac:dyDescent="0.35">
      <c r="B11873"/>
    </row>
    <row r="11874" spans="2:2" x14ac:dyDescent="0.35">
      <c r="B11874"/>
    </row>
    <row r="11875" spans="2:2" x14ac:dyDescent="0.35">
      <c r="B11875"/>
    </row>
    <row r="11876" spans="2:2" x14ac:dyDescent="0.35">
      <c r="B11876"/>
    </row>
    <row r="11877" spans="2:2" x14ac:dyDescent="0.35">
      <c r="B11877"/>
    </row>
    <row r="11878" spans="2:2" x14ac:dyDescent="0.35">
      <c r="B11878"/>
    </row>
    <row r="11879" spans="2:2" x14ac:dyDescent="0.35">
      <c r="B11879"/>
    </row>
    <row r="11880" spans="2:2" x14ac:dyDescent="0.35">
      <c r="B11880"/>
    </row>
    <row r="11881" spans="2:2" x14ac:dyDescent="0.35">
      <c r="B11881"/>
    </row>
    <row r="11882" spans="2:2" x14ac:dyDescent="0.35">
      <c r="B11882"/>
    </row>
    <row r="11883" spans="2:2" x14ac:dyDescent="0.35">
      <c r="B11883"/>
    </row>
    <row r="11884" spans="2:2" x14ac:dyDescent="0.35">
      <c r="B11884"/>
    </row>
    <row r="11885" spans="2:2" x14ac:dyDescent="0.35">
      <c r="B11885"/>
    </row>
    <row r="11886" spans="2:2" x14ac:dyDescent="0.35">
      <c r="B11886"/>
    </row>
    <row r="11887" spans="2:2" x14ac:dyDescent="0.35">
      <c r="B11887"/>
    </row>
    <row r="11888" spans="2:2" x14ac:dyDescent="0.35">
      <c r="B11888"/>
    </row>
    <row r="11889" spans="1:2" x14ac:dyDescent="0.35">
      <c r="B11889"/>
    </row>
    <row r="11890" spans="1:2" x14ac:dyDescent="0.35">
      <c r="A11890" s="36"/>
      <c r="B11890" s="36"/>
    </row>
    <row r="11891" spans="1:2" x14ac:dyDescent="0.35">
      <c r="B11891"/>
    </row>
    <row r="11892" spans="1:2" x14ac:dyDescent="0.35">
      <c r="B11892"/>
    </row>
    <row r="11893" spans="1:2" x14ac:dyDescent="0.35">
      <c r="B11893"/>
    </row>
    <row r="11894" spans="1:2" x14ac:dyDescent="0.35">
      <c r="B11894"/>
    </row>
    <row r="11895" spans="1:2" x14ac:dyDescent="0.35">
      <c r="B11895"/>
    </row>
    <row r="11896" spans="1:2" x14ac:dyDescent="0.35">
      <c r="B11896"/>
    </row>
    <row r="11897" spans="1:2" x14ac:dyDescent="0.35">
      <c r="B11897"/>
    </row>
    <row r="11898" spans="1:2" x14ac:dyDescent="0.35">
      <c r="B11898"/>
    </row>
    <row r="11899" spans="1:2" x14ac:dyDescent="0.35">
      <c r="B11899"/>
    </row>
    <row r="11900" spans="1:2" x14ac:dyDescent="0.35">
      <c r="B11900"/>
    </row>
    <row r="11901" spans="1:2" x14ac:dyDescent="0.35">
      <c r="B11901"/>
    </row>
    <row r="11902" spans="1:2" x14ac:dyDescent="0.35">
      <c r="B11902"/>
    </row>
    <row r="11903" spans="1:2" x14ac:dyDescent="0.35">
      <c r="B11903"/>
    </row>
    <row r="11904" spans="1:2" x14ac:dyDescent="0.35">
      <c r="B11904"/>
    </row>
    <row r="11905" spans="2:2" x14ac:dyDescent="0.35">
      <c r="B11905"/>
    </row>
    <row r="11906" spans="2:2" x14ac:dyDescent="0.35">
      <c r="B11906"/>
    </row>
    <row r="11907" spans="2:2" x14ac:dyDescent="0.35">
      <c r="B11907"/>
    </row>
    <row r="11908" spans="2:2" x14ac:dyDescent="0.35">
      <c r="B11908"/>
    </row>
    <row r="11909" spans="2:2" x14ac:dyDescent="0.35">
      <c r="B11909"/>
    </row>
    <row r="11910" spans="2:2" x14ac:dyDescent="0.35">
      <c r="B11910"/>
    </row>
    <row r="11911" spans="2:2" x14ac:dyDescent="0.35">
      <c r="B11911"/>
    </row>
    <row r="11912" spans="2:2" x14ac:dyDescent="0.35">
      <c r="B11912"/>
    </row>
    <row r="11913" spans="2:2" x14ac:dyDescent="0.35">
      <c r="B11913"/>
    </row>
    <row r="11914" spans="2:2" x14ac:dyDescent="0.35">
      <c r="B11914"/>
    </row>
    <row r="11915" spans="2:2" x14ac:dyDescent="0.35">
      <c r="B11915"/>
    </row>
    <row r="11916" spans="2:2" x14ac:dyDescent="0.35">
      <c r="B11916"/>
    </row>
    <row r="11917" spans="2:2" x14ac:dyDescent="0.35">
      <c r="B11917"/>
    </row>
    <row r="11918" spans="2:2" x14ac:dyDescent="0.35">
      <c r="B11918"/>
    </row>
    <row r="11919" spans="2:2" x14ac:dyDescent="0.35">
      <c r="B11919"/>
    </row>
    <row r="11920" spans="2:2" x14ac:dyDescent="0.35">
      <c r="B11920"/>
    </row>
    <row r="11921" spans="1:2" x14ac:dyDescent="0.35">
      <c r="B11921"/>
    </row>
    <row r="11922" spans="1:2" x14ac:dyDescent="0.35">
      <c r="B11922"/>
    </row>
    <row r="11923" spans="1:2" x14ac:dyDescent="0.35">
      <c r="B11923"/>
    </row>
    <row r="11924" spans="1:2" x14ac:dyDescent="0.35">
      <c r="A11924" s="36"/>
      <c r="B11924" s="36"/>
    </row>
    <row r="11925" spans="1:2" x14ac:dyDescent="0.35">
      <c r="B11925"/>
    </row>
    <row r="11926" spans="1:2" x14ac:dyDescent="0.35">
      <c r="B11926"/>
    </row>
    <row r="11927" spans="1:2" x14ac:dyDescent="0.35">
      <c r="B11927"/>
    </row>
    <row r="11928" spans="1:2" x14ac:dyDescent="0.35">
      <c r="B11928"/>
    </row>
    <row r="11929" spans="1:2" x14ac:dyDescent="0.35">
      <c r="B11929"/>
    </row>
    <row r="11930" spans="1:2" x14ac:dyDescent="0.35">
      <c r="B11930"/>
    </row>
    <row r="11931" spans="1:2" x14ac:dyDescent="0.35">
      <c r="B11931"/>
    </row>
    <row r="11932" spans="1:2" x14ac:dyDescent="0.35">
      <c r="B11932"/>
    </row>
    <row r="11933" spans="1:2" x14ac:dyDescent="0.35">
      <c r="B11933"/>
    </row>
    <row r="11934" spans="1:2" x14ac:dyDescent="0.35">
      <c r="B11934"/>
    </row>
    <row r="11935" spans="1:2" x14ac:dyDescent="0.35">
      <c r="B11935"/>
    </row>
    <row r="11936" spans="1:2" x14ac:dyDescent="0.35">
      <c r="B11936"/>
    </row>
    <row r="11937" spans="2:2" x14ac:dyDescent="0.35">
      <c r="B11937"/>
    </row>
    <row r="11938" spans="2:2" x14ac:dyDescent="0.35">
      <c r="B11938"/>
    </row>
    <row r="11939" spans="2:2" x14ac:dyDescent="0.35">
      <c r="B11939"/>
    </row>
    <row r="11940" spans="2:2" x14ac:dyDescent="0.35">
      <c r="B11940"/>
    </row>
    <row r="11941" spans="2:2" x14ac:dyDescent="0.35">
      <c r="B11941"/>
    </row>
    <row r="11942" spans="2:2" x14ac:dyDescent="0.35">
      <c r="B11942"/>
    </row>
    <row r="11943" spans="2:2" x14ac:dyDescent="0.35">
      <c r="B11943"/>
    </row>
    <row r="11944" spans="2:2" x14ac:dyDescent="0.35">
      <c r="B11944"/>
    </row>
    <row r="11945" spans="2:2" x14ac:dyDescent="0.35">
      <c r="B11945"/>
    </row>
    <row r="11946" spans="2:2" x14ac:dyDescent="0.35">
      <c r="B11946"/>
    </row>
    <row r="11947" spans="2:2" x14ac:dyDescent="0.35">
      <c r="B11947"/>
    </row>
    <row r="11948" spans="2:2" x14ac:dyDescent="0.35">
      <c r="B11948"/>
    </row>
    <row r="11949" spans="2:2" x14ac:dyDescent="0.35">
      <c r="B11949"/>
    </row>
    <row r="11950" spans="2:2" x14ac:dyDescent="0.35">
      <c r="B11950"/>
    </row>
    <row r="11951" spans="2:2" x14ac:dyDescent="0.35">
      <c r="B11951"/>
    </row>
    <row r="11952" spans="2:2" x14ac:dyDescent="0.35">
      <c r="B11952"/>
    </row>
    <row r="11953" spans="1:2" x14ac:dyDescent="0.35">
      <c r="B11953"/>
    </row>
    <row r="11954" spans="1:2" x14ac:dyDescent="0.35">
      <c r="B11954"/>
    </row>
    <row r="11955" spans="1:2" x14ac:dyDescent="0.35">
      <c r="B11955"/>
    </row>
    <row r="11956" spans="1:2" x14ac:dyDescent="0.35">
      <c r="B11956"/>
    </row>
    <row r="11957" spans="1:2" x14ac:dyDescent="0.35">
      <c r="B11957"/>
    </row>
    <row r="11958" spans="1:2" x14ac:dyDescent="0.35">
      <c r="A11958" s="36"/>
      <c r="B11958" s="36"/>
    </row>
    <row r="11959" spans="1:2" x14ac:dyDescent="0.35">
      <c r="B11959"/>
    </row>
    <row r="11960" spans="1:2" x14ac:dyDescent="0.35">
      <c r="B11960"/>
    </row>
    <row r="11961" spans="1:2" x14ac:dyDescent="0.35">
      <c r="B11961"/>
    </row>
    <row r="11962" spans="1:2" x14ac:dyDescent="0.35">
      <c r="B11962"/>
    </row>
    <row r="11963" spans="1:2" x14ac:dyDescent="0.35">
      <c r="B11963"/>
    </row>
    <row r="11964" spans="1:2" x14ac:dyDescent="0.35">
      <c r="B11964"/>
    </row>
    <row r="11965" spans="1:2" x14ac:dyDescent="0.35">
      <c r="B11965"/>
    </row>
    <row r="11966" spans="1:2" x14ac:dyDescent="0.35">
      <c r="B11966"/>
    </row>
    <row r="11967" spans="1:2" x14ac:dyDescent="0.35">
      <c r="B11967"/>
    </row>
    <row r="11968" spans="1:2" x14ac:dyDescent="0.35">
      <c r="B11968"/>
    </row>
    <row r="11969" spans="2:2" x14ac:dyDescent="0.35">
      <c r="B11969"/>
    </row>
    <row r="11970" spans="2:2" x14ac:dyDescent="0.35">
      <c r="B11970"/>
    </row>
    <row r="11971" spans="2:2" x14ac:dyDescent="0.35">
      <c r="B11971"/>
    </row>
    <row r="11972" spans="2:2" x14ac:dyDescent="0.35">
      <c r="B11972"/>
    </row>
    <row r="11973" spans="2:2" x14ac:dyDescent="0.35">
      <c r="B11973"/>
    </row>
    <row r="11974" spans="2:2" x14ac:dyDescent="0.35">
      <c r="B11974"/>
    </row>
    <row r="11975" spans="2:2" x14ac:dyDescent="0.35">
      <c r="B11975"/>
    </row>
    <row r="11976" spans="2:2" x14ac:dyDescent="0.35">
      <c r="B11976"/>
    </row>
    <row r="11977" spans="2:2" x14ac:dyDescent="0.35">
      <c r="B11977"/>
    </row>
    <row r="11978" spans="2:2" x14ac:dyDescent="0.35">
      <c r="B11978"/>
    </row>
    <row r="11979" spans="2:2" x14ac:dyDescent="0.35">
      <c r="B11979"/>
    </row>
    <row r="11980" spans="2:2" x14ac:dyDescent="0.35">
      <c r="B11980"/>
    </row>
    <row r="11981" spans="2:2" x14ac:dyDescent="0.35">
      <c r="B11981"/>
    </row>
    <row r="11982" spans="2:2" x14ac:dyDescent="0.35">
      <c r="B11982"/>
    </row>
    <row r="11983" spans="2:2" x14ac:dyDescent="0.35">
      <c r="B11983"/>
    </row>
    <row r="11984" spans="2:2" x14ac:dyDescent="0.35">
      <c r="B11984"/>
    </row>
    <row r="11985" spans="1:2" x14ac:dyDescent="0.35">
      <c r="B11985"/>
    </row>
    <row r="11986" spans="1:2" x14ac:dyDescent="0.35">
      <c r="B11986"/>
    </row>
    <row r="11987" spans="1:2" x14ac:dyDescent="0.35">
      <c r="B11987"/>
    </row>
    <row r="11988" spans="1:2" x14ac:dyDescent="0.35">
      <c r="B11988"/>
    </row>
    <row r="11989" spans="1:2" x14ac:dyDescent="0.35">
      <c r="B11989"/>
    </row>
    <row r="11990" spans="1:2" x14ac:dyDescent="0.35">
      <c r="B11990"/>
    </row>
    <row r="11991" spans="1:2" x14ac:dyDescent="0.35">
      <c r="B11991"/>
    </row>
    <row r="11992" spans="1:2" x14ac:dyDescent="0.35">
      <c r="A11992" s="36"/>
      <c r="B11992" s="36"/>
    </row>
    <row r="11993" spans="1:2" x14ac:dyDescent="0.35">
      <c r="B11993"/>
    </row>
    <row r="11994" spans="1:2" x14ac:dyDescent="0.35">
      <c r="B11994"/>
    </row>
    <row r="11995" spans="1:2" x14ac:dyDescent="0.35">
      <c r="B11995"/>
    </row>
    <row r="11996" spans="1:2" x14ac:dyDescent="0.35">
      <c r="B11996"/>
    </row>
    <row r="11997" spans="1:2" x14ac:dyDescent="0.35">
      <c r="B11997"/>
    </row>
    <row r="11998" spans="1:2" x14ac:dyDescent="0.35">
      <c r="B11998"/>
    </row>
    <row r="11999" spans="1:2" x14ac:dyDescent="0.35">
      <c r="B11999"/>
    </row>
    <row r="12000" spans="1:2" x14ac:dyDescent="0.35">
      <c r="B12000"/>
    </row>
    <row r="12001" spans="2:2" x14ac:dyDescent="0.35">
      <c r="B12001"/>
    </row>
    <row r="12002" spans="2:2" x14ac:dyDescent="0.35">
      <c r="B12002"/>
    </row>
    <row r="12003" spans="2:2" x14ac:dyDescent="0.35">
      <c r="B12003"/>
    </row>
    <row r="12004" spans="2:2" x14ac:dyDescent="0.35">
      <c r="B12004"/>
    </row>
    <row r="12005" spans="2:2" x14ac:dyDescent="0.35">
      <c r="B12005"/>
    </row>
    <row r="12006" spans="2:2" x14ac:dyDescent="0.35">
      <c r="B12006"/>
    </row>
    <row r="12007" spans="2:2" x14ac:dyDescent="0.35">
      <c r="B12007"/>
    </row>
    <row r="12008" spans="2:2" x14ac:dyDescent="0.35">
      <c r="B12008"/>
    </row>
    <row r="12009" spans="2:2" x14ac:dyDescent="0.35">
      <c r="B12009"/>
    </row>
    <row r="12010" spans="2:2" x14ac:dyDescent="0.35">
      <c r="B12010"/>
    </row>
    <row r="12011" spans="2:2" x14ac:dyDescent="0.35">
      <c r="B12011"/>
    </row>
    <row r="12012" spans="2:2" x14ac:dyDescent="0.35">
      <c r="B12012"/>
    </row>
    <row r="12013" spans="2:2" x14ac:dyDescent="0.35">
      <c r="B12013"/>
    </row>
    <row r="12014" spans="2:2" x14ac:dyDescent="0.35">
      <c r="B12014"/>
    </row>
    <row r="12015" spans="2:2" x14ac:dyDescent="0.35">
      <c r="B12015"/>
    </row>
    <row r="12016" spans="2:2" x14ac:dyDescent="0.35">
      <c r="B12016"/>
    </row>
    <row r="12017" spans="1:2" x14ac:dyDescent="0.35">
      <c r="B12017"/>
    </row>
    <row r="12018" spans="1:2" x14ac:dyDescent="0.35">
      <c r="B12018"/>
    </row>
    <row r="12019" spans="1:2" x14ac:dyDescent="0.35">
      <c r="B12019"/>
    </row>
    <row r="12020" spans="1:2" x14ac:dyDescent="0.35">
      <c r="B12020"/>
    </row>
    <row r="12021" spans="1:2" x14ac:dyDescent="0.35">
      <c r="B12021"/>
    </row>
    <row r="12022" spans="1:2" x14ac:dyDescent="0.35">
      <c r="B12022"/>
    </row>
    <row r="12023" spans="1:2" x14ac:dyDescent="0.35">
      <c r="B12023"/>
    </row>
    <row r="12024" spans="1:2" x14ac:dyDescent="0.35">
      <c r="B12024"/>
    </row>
    <row r="12025" spans="1:2" x14ac:dyDescent="0.35">
      <c r="B12025"/>
    </row>
    <row r="12026" spans="1:2" x14ac:dyDescent="0.35">
      <c r="A12026" s="36"/>
      <c r="B12026" s="36"/>
    </row>
    <row r="12027" spans="1:2" x14ac:dyDescent="0.35">
      <c r="B12027"/>
    </row>
    <row r="12028" spans="1:2" x14ac:dyDescent="0.35">
      <c r="B12028"/>
    </row>
    <row r="12029" spans="1:2" x14ac:dyDescent="0.35">
      <c r="B12029"/>
    </row>
    <row r="12030" spans="1:2" x14ac:dyDescent="0.35">
      <c r="B12030"/>
    </row>
    <row r="12031" spans="1:2" x14ac:dyDescent="0.35">
      <c r="B12031"/>
    </row>
    <row r="12032" spans="1:2" x14ac:dyDescent="0.35">
      <c r="B12032"/>
    </row>
    <row r="12033" spans="2:2" x14ac:dyDescent="0.35">
      <c r="B12033"/>
    </row>
    <row r="12034" spans="2:2" x14ac:dyDescent="0.35">
      <c r="B12034"/>
    </row>
    <row r="12035" spans="2:2" x14ac:dyDescent="0.35">
      <c r="B12035"/>
    </row>
    <row r="12036" spans="2:2" x14ac:dyDescent="0.35">
      <c r="B12036"/>
    </row>
    <row r="12037" spans="2:2" x14ac:dyDescent="0.35">
      <c r="B12037"/>
    </row>
    <row r="12038" spans="2:2" x14ac:dyDescent="0.35">
      <c r="B12038"/>
    </row>
    <row r="12039" spans="2:2" x14ac:dyDescent="0.35">
      <c r="B12039"/>
    </row>
    <row r="12040" spans="2:2" x14ac:dyDescent="0.35">
      <c r="B12040"/>
    </row>
    <row r="12041" spans="2:2" x14ac:dyDescent="0.35">
      <c r="B12041"/>
    </row>
    <row r="12042" spans="2:2" x14ac:dyDescent="0.35">
      <c r="B12042"/>
    </row>
    <row r="12043" spans="2:2" x14ac:dyDescent="0.35">
      <c r="B12043"/>
    </row>
    <row r="12044" spans="2:2" x14ac:dyDescent="0.35">
      <c r="B12044"/>
    </row>
    <row r="12045" spans="2:2" x14ac:dyDescent="0.35">
      <c r="B12045"/>
    </row>
    <row r="12046" spans="2:2" x14ac:dyDescent="0.35">
      <c r="B12046"/>
    </row>
    <row r="12047" spans="2:2" x14ac:dyDescent="0.35">
      <c r="B12047"/>
    </row>
    <row r="12048" spans="2:2" x14ac:dyDescent="0.35">
      <c r="B12048"/>
    </row>
    <row r="12049" spans="1:2" x14ac:dyDescent="0.35">
      <c r="B12049"/>
    </row>
    <row r="12050" spans="1:2" x14ac:dyDescent="0.35">
      <c r="B12050"/>
    </row>
    <row r="12051" spans="1:2" x14ac:dyDescent="0.35">
      <c r="B12051"/>
    </row>
    <row r="12052" spans="1:2" x14ac:dyDescent="0.35">
      <c r="B12052"/>
    </row>
    <row r="12053" spans="1:2" x14ac:dyDescent="0.35">
      <c r="B12053"/>
    </row>
    <row r="12054" spans="1:2" x14ac:dyDescent="0.35">
      <c r="B12054"/>
    </row>
    <row r="12055" spans="1:2" x14ac:dyDescent="0.35">
      <c r="B12055"/>
    </row>
    <row r="12056" spans="1:2" x14ac:dyDescent="0.35">
      <c r="B12056"/>
    </row>
    <row r="12057" spans="1:2" x14ac:dyDescent="0.35">
      <c r="B12057"/>
    </row>
    <row r="12058" spans="1:2" x14ac:dyDescent="0.35">
      <c r="B12058"/>
    </row>
    <row r="12059" spans="1:2" x14ac:dyDescent="0.35">
      <c r="B12059"/>
    </row>
    <row r="12060" spans="1:2" x14ac:dyDescent="0.35">
      <c r="A12060" s="36"/>
      <c r="B12060" s="36"/>
    </row>
    <row r="12061" spans="1:2" x14ac:dyDescent="0.35">
      <c r="B12061"/>
    </row>
    <row r="12062" spans="1:2" x14ac:dyDescent="0.35">
      <c r="B12062"/>
    </row>
    <row r="12063" spans="1:2" x14ac:dyDescent="0.35">
      <c r="B12063"/>
    </row>
    <row r="12064" spans="1:2" x14ac:dyDescent="0.35">
      <c r="B12064"/>
    </row>
    <row r="12065" spans="2:2" x14ac:dyDescent="0.35">
      <c r="B12065"/>
    </row>
    <row r="12066" spans="2:2" x14ac:dyDescent="0.35">
      <c r="B12066"/>
    </row>
    <row r="12067" spans="2:2" x14ac:dyDescent="0.35">
      <c r="B12067"/>
    </row>
    <row r="12068" spans="2:2" x14ac:dyDescent="0.35">
      <c r="B12068"/>
    </row>
    <row r="12069" spans="2:2" x14ac:dyDescent="0.35">
      <c r="B12069"/>
    </row>
    <row r="12070" spans="2:2" x14ac:dyDescent="0.35">
      <c r="B12070"/>
    </row>
    <row r="12071" spans="2:2" x14ac:dyDescent="0.35">
      <c r="B12071"/>
    </row>
    <row r="12072" spans="2:2" x14ac:dyDescent="0.35">
      <c r="B12072"/>
    </row>
    <row r="12073" spans="2:2" x14ac:dyDescent="0.35">
      <c r="B12073"/>
    </row>
    <row r="12074" spans="2:2" x14ac:dyDescent="0.35">
      <c r="B12074"/>
    </row>
    <row r="12075" spans="2:2" x14ac:dyDescent="0.35">
      <c r="B12075"/>
    </row>
    <row r="12076" spans="2:2" x14ac:dyDescent="0.35">
      <c r="B12076"/>
    </row>
    <row r="12077" spans="2:2" x14ac:dyDescent="0.35">
      <c r="B12077"/>
    </row>
    <row r="12078" spans="2:2" x14ac:dyDescent="0.35">
      <c r="B12078"/>
    </row>
    <row r="12079" spans="2:2" x14ac:dyDescent="0.35">
      <c r="B12079"/>
    </row>
    <row r="12080" spans="2:2" x14ac:dyDescent="0.35">
      <c r="B12080"/>
    </row>
    <row r="12081" spans="1:2" x14ac:dyDescent="0.35">
      <c r="B12081"/>
    </row>
    <row r="12082" spans="1:2" x14ac:dyDescent="0.35">
      <c r="B12082"/>
    </row>
    <row r="12083" spans="1:2" x14ac:dyDescent="0.35">
      <c r="B12083"/>
    </row>
    <row r="12084" spans="1:2" x14ac:dyDescent="0.35">
      <c r="B12084"/>
    </row>
    <row r="12085" spans="1:2" x14ac:dyDescent="0.35">
      <c r="B12085"/>
    </row>
    <row r="12086" spans="1:2" x14ac:dyDescent="0.35">
      <c r="B12086"/>
    </row>
    <row r="12087" spans="1:2" x14ac:dyDescent="0.35">
      <c r="B12087"/>
    </row>
    <row r="12088" spans="1:2" x14ac:dyDescent="0.35">
      <c r="B12088"/>
    </row>
    <row r="12089" spans="1:2" x14ac:dyDescent="0.35">
      <c r="B12089"/>
    </row>
    <row r="12090" spans="1:2" x14ac:dyDescent="0.35">
      <c r="B12090"/>
    </row>
    <row r="12091" spans="1:2" x14ac:dyDescent="0.35">
      <c r="B12091"/>
    </row>
    <row r="12092" spans="1:2" x14ac:dyDescent="0.35">
      <c r="B12092"/>
    </row>
    <row r="12093" spans="1:2" x14ac:dyDescent="0.35">
      <c r="B12093"/>
    </row>
    <row r="12094" spans="1:2" x14ac:dyDescent="0.35">
      <c r="A12094" s="36"/>
      <c r="B12094" s="36"/>
    </row>
    <row r="12095" spans="1:2" x14ac:dyDescent="0.35">
      <c r="B12095"/>
    </row>
    <row r="12096" spans="1:2" x14ac:dyDescent="0.35">
      <c r="B12096"/>
    </row>
    <row r="12097" spans="2:2" x14ac:dyDescent="0.35">
      <c r="B12097"/>
    </row>
    <row r="12098" spans="2:2" x14ac:dyDescent="0.35">
      <c r="B12098"/>
    </row>
    <row r="12099" spans="2:2" x14ac:dyDescent="0.35">
      <c r="B12099"/>
    </row>
    <row r="12100" spans="2:2" x14ac:dyDescent="0.35">
      <c r="B12100"/>
    </row>
    <row r="12101" spans="2:2" x14ac:dyDescent="0.35">
      <c r="B12101"/>
    </row>
    <row r="12102" spans="2:2" x14ac:dyDescent="0.35">
      <c r="B12102"/>
    </row>
    <row r="12103" spans="2:2" x14ac:dyDescent="0.35">
      <c r="B12103"/>
    </row>
    <row r="12104" spans="2:2" x14ac:dyDescent="0.35">
      <c r="B12104"/>
    </row>
    <row r="12105" spans="2:2" x14ac:dyDescent="0.35">
      <c r="B12105"/>
    </row>
    <row r="12106" spans="2:2" x14ac:dyDescent="0.35">
      <c r="B12106"/>
    </row>
    <row r="12107" spans="2:2" x14ac:dyDescent="0.35">
      <c r="B12107"/>
    </row>
    <row r="12108" spans="2:2" x14ac:dyDescent="0.35">
      <c r="B12108"/>
    </row>
    <row r="12109" spans="2:2" x14ac:dyDescent="0.35">
      <c r="B12109"/>
    </row>
    <row r="12110" spans="2:2" x14ac:dyDescent="0.35">
      <c r="B12110"/>
    </row>
    <row r="12111" spans="2:2" x14ac:dyDescent="0.35">
      <c r="B12111"/>
    </row>
    <row r="12112" spans="2:2" x14ac:dyDescent="0.35">
      <c r="B12112"/>
    </row>
    <row r="12113" spans="1:2" x14ac:dyDescent="0.35">
      <c r="B12113"/>
    </row>
    <row r="12114" spans="1:2" x14ac:dyDescent="0.35">
      <c r="B12114"/>
    </row>
    <row r="12115" spans="1:2" x14ac:dyDescent="0.35">
      <c r="B12115"/>
    </row>
    <row r="12116" spans="1:2" x14ac:dyDescent="0.35">
      <c r="B12116"/>
    </row>
    <row r="12117" spans="1:2" x14ac:dyDescent="0.35">
      <c r="B12117"/>
    </row>
    <row r="12118" spans="1:2" x14ac:dyDescent="0.35">
      <c r="B12118"/>
    </row>
    <row r="12119" spans="1:2" x14ac:dyDescent="0.35">
      <c r="B12119"/>
    </row>
    <row r="12120" spans="1:2" x14ac:dyDescent="0.35">
      <c r="B12120"/>
    </row>
    <row r="12121" spans="1:2" x14ac:dyDescent="0.35">
      <c r="B12121"/>
    </row>
    <row r="12122" spans="1:2" x14ac:dyDescent="0.35">
      <c r="B12122"/>
    </row>
    <row r="12123" spans="1:2" x14ac:dyDescent="0.35">
      <c r="B12123"/>
    </row>
    <row r="12124" spans="1:2" x14ac:dyDescent="0.35">
      <c r="B12124"/>
    </row>
    <row r="12125" spans="1:2" x14ac:dyDescent="0.35">
      <c r="B12125"/>
    </row>
    <row r="12126" spans="1:2" x14ac:dyDescent="0.35">
      <c r="B12126"/>
    </row>
    <row r="12127" spans="1:2" x14ac:dyDescent="0.35">
      <c r="B12127"/>
    </row>
    <row r="12128" spans="1:2" x14ac:dyDescent="0.35">
      <c r="A12128" s="36"/>
      <c r="B12128" s="36"/>
    </row>
    <row r="12129" spans="2:2" x14ac:dyDescent="0.35">
      <c r="B12129"/>
    </row>
    <row r="12130" spans="2:2" x14ac:dyDescent="0.35">
      <c r="B12130"/>
    </row>
    <row r="12131" spans="2:2" x14ac:dyDescent="0.35">
      <c r="B12131"/>
    </row>
    <row r="12132" spans="2:2" x14ac:dyDescent="0.35">
      <c r="B12132"/>
    </row>
    <row r="12133" spans="2:2" x14ac:dyDescent="0.35">
      <c r="B12133"/>
    </row>
    <row r="12134" spans="2:2" x14ac:dyDescent="0.35">
      <c r="B12134"/>
    </row>
    <row r="12135" spans="2:2" x14ac:dyDescent="0.35">
      <c r="B12135"/>
    </row>
    <row r="12136" spans="2:2" x14ac:dyDescent="0.35">
      <c r="B12136"/>
    </row>
    <row r="12137" spans="2:2" x14ac:dyDescent="0.35">
      <c r="B12137"/>
    </row>
    <row r="12138" spans="2:2" x14ac:dyDescent="0.35">
      <c r="B12138"/>
    </row>
    <row r="12139" spans="2:2" x14ac:dyDescent="0.35">
      <c r="B12139"/>
    </row>
    <row r="12140" spans="2:2" x14ac:dyDescent="0.35">
      <c r="B12140"/>
    </row>
    <row r="12141" spans="2:2" x14ac:dyDescent="0.35">
      <c r="B12141"/>
    </row>
    <row r="12142" spans="2:2" x14ac:dyDescent="0.35">
      <c r="B12142"/>
    </row>
    <row r="12143" spans="2:2" x14ac:dyDescent="0.35">
      <c r="B12143"/>
    </row>
    <row r="12144" spans="2:2" x14ac:dyDescent="0.35">
      <c r="B12144"/>
    </row>
    <row r="12145" spans="2:2" x14ac:dyDescent="0.35">
      <c r="B12145"/>
    </row>
    <row r="12146" spans="2:2" x14ac:dyDescent="0.35">
      <c r="B12146"/>
    </row>
    <row r="12147" spans="2:2" x14ac:dyDescent="0.35">
      <c r="B12147"/>
    </row>
    <row r="12148" spans="2:2" x14ac:dyDescent="0.35">
      <c r="B12148"/>
    </row>
    <row r="12149" spans="2:2" x14ac:dyDescent="0.35">
      <c r="B12149"/>
    </row>
    <row r="12150" spans="2:2" x14ac:dyDescent="0.35">
      <c r="B12150"/>
    </row>
    <row r="12151" spans="2:2" x14ac:dyDescent="0.35">
      <c r="B12151"/>
    </row>
    <row r="12152" spans="2:2" x14ac:dyDescent="0.35">
      <c r="B12152"/>
    </row>
    <row r="12153" spans="2:2" x14ac:dyDescent="0.35">
      <c r="B12153"/>
    </row>
    <row r="12154" spans="2:2" x14ac:dyDescent="0.35">
      <c r="B12154"/>
    </row>
    <row r="12155" spans="2:2" x14ac:dyDescent="0.35">
      <c r="B12155"/>
    </row>
    <row r="12156" spans="2:2" x14ac:dyDescent="0.35">
      <c r="B12156"/>
    </row>
    <row r="12157" spans="2:2" x14ac:dyDescent="0.35">
      <c r="B12157"/>
    </row>
    <row r="12158" spans="2:2" x14ac:dyDescent="0.35">
      <c r="B12158"/>
    </row>
    <row r="12159" spans="2:2" x14ac:dyDescent="0.35">
      <c r="B12159"/>
    </row>
    <row r="12160" spans="2:2" x14ac:dyDescent="0.35">
      <c r="B12160"/>
    </row>
    <row r="12161" spans="1:2" x14ac:dyDescent="0.35">
      <c r="B12161"/>
    </row>
    <row r="12162" spans="1:2" x14ac:dyDescent="0.35">
      <c r="A12162" s="36"/>
      <c r="B12162" s="36"/>
    </row>
    <row r="12163" spans="1:2" x14ac:dyDescent="0.35">
      <c r="B12163"/>
    </row>
    <row r="12164" spans="1:2" x14ac:dyDescent="0.35">
      <c r="B12164"/>
    </row>
    <row r="12165" spans="1:2" x14ac:dyDescent="0.35">
      <c r="B12165"/>
    </row>
    <row r="12166" spans="1:2" x14ac:dyDescent="0.35">
      <c r="B12166"/>
    </row>
    <row r="12167" spans="1:2" x14ac:dyDescent="0.35">
      <c r="B12167"/>
    </row>
    <row r="12168" spans="1:2" x14ac:dyDescent="0.35">
      <c r="B12168"/>
    </row>
    <row r="12169" spans="1:2" x14ac:dyDescent="0.35">
      <c r="B12169"/>
    </row>
    <row r="12170" spans="1:2" x14ac:dyDescent="0.35">
      <c r="B12170"/>
    </row>
    <row r="12171" spans="1:2" x14ac:dyDescent="0.35">
      <c r="B12171"/>
    </row>
    <row r="12172" spans="1:2" x14ac:dyDescent="0.35">
      <c r="B12172"/>
    </row>
    <row r="12173" spans="1:2" x14ac:dyDescent="0.35">
      <c r="B12173"/>
    </row>
    <row r="12174" spans="1:2" x14ac:dyDescent="0.35">
      <c r="B12174"/>
    </row>
    <row r="12175" spans="1:2" x14ac:dyDescent="0.35">
      <c r="B12175"/>
    </row>
    <row r="12176" spans="1:2" x14ac:dyDescent="0.35">
      <c r="B12176"/>
    </row>
    <row r="12177" spans="2:2" x14ac:dyDescent="0.35">
      <c r="B12177"/>
    </row>
    <row r="12178" spans="2:2" x14ac:dyDescent="0.35">
      <c r="B12178"/>
    </row>
    <row r="12179" spans="2:2" x14ac:dyDescent="0.35">
      <c r="B12179"/>
    </row>
    <row r="12180" spans="2:2" x14ac:dyDescent="0.35">
      <c r="B12180"/>
    </row>
    <row r="12181" spans="2:2" x14ac:dyDescent="0.35">
      <c r="B12181"/>
    </row>
    <row r="12182" spans="2:2" x14ac:dyDescent="0.35">
      <c r="B12182"/>
    </row>
    <row r="12183" spans="2:2" x14ac:dyDescent="0.35">
      <c r="B12183"/>
    </row>
    <row r="12184" spans="2:2" x14ac:dyDescent="0.35">
      <c r="B12184"/>
    </row>
    <row r="12185" spans="2:2" x14ac:dyDescent="0.35">
      <c r="B12185"/>
    </row>
    <row r="12186" spans="2:2" x14ac:dyDescent="0.35">
      <c r="B12186"/>
    </row>
    <row r="12187" spans="2:2" x14ac:dyDescent="0.35">
      <c r="B12187"/>
    </row>
    <row r="12188" spans="2:2" x14ac:dyDescent="0.35">
      <c r="B12188"/>
    </row>
    <row r="12189" spans="2:2" x14ac:dyDescent="0.35">
      <c r="B12189"/>
    </row>
    <row r="12190" spans="2:2" x14ac:dyDescent="0.35">
      <c r="B12190"/>
    </row>
    <row r="12191" spans="2:2" x14ac:dyDescent="0.35">
      <c r="B12191"/>
    </row>
    <row r="12192" spans="2:2" x14ac:dyDescent="0.35">
      <c r="B12192"/>
    </row>
    <row r="12193" spans="1:2" x14ac:dyDescent="0.35">
      <c r="B12193"/>
    </row>
    <row r="12194" spans="1:2" x14ac:dyDescent="0.35">
      <c r="B12194"/>
    </row>
    <row r="12195" spans="1:2" x14ac:dyDescent="0.35">
      <c r="B12195"/>
    </row>
    <row r="12196" spans="1:2" x14ac:dyDescent="0.35">
      <c r="A12196" s="36"/>
      <c r="B12196" s="36"/>
    </row>
    <row r="12197" spans="1:2" x14ac:dyDescent="0.35">
      <c r="B12197"/>
    </row>
    <row r="12198" spans="1:2" x14ac:dyDescent="0.35">
      <c r="B12198"/>
    </row>
    <row r="12199" spans="1:2" x14ac:dyDescent="0.35">
      <c r="B12199"/>
    </row>
    <row r="12200" spans="1:2" x14ac:dyDescent="0.35">
      <c r="B12200"/>
    </row>
    <row r="12201" spans="1:2" x14ac:dyDescent="0.35">
      <c r="B12201"/>
    </row>
    <row r="12202" spans="1:2" x14ac:dyDescent="0.35">
      <c r="B12202"/>
    </row>
    <row r="12203" spans="1:2" x14ac:dyDescent="0.35">
      <c r="B12203"/>
    </row>
    <row r="12204" spans="1:2" x14ac:dyDescent="0.35">
      <c r="B12204"/>
    </row>
    <row r="12205" spans="1:2" x14ac:dyDescent="0.35">
      <c r="B12205"/>
    </row>
    <row r="12206" spans="1:2" x14ac:dyDescent="0.35">
      <c r="B12206"/>
    </row>
    <row r="12207" spans="1:2" x14ac:dyDescent="0.35">
      <c r="B12207"/>
    </row>
    <row r="12208" spans="1:2" x14ac:dyDescent="0.35">
      <c r="B12208"/>
    </row>
    <row r="12209" spans="2:2" x14ac:dyDescent="0.35">
      <c r="B12209"/>
    </row>
    <row r="12210" spans="2:2" x14ac:dyDescent="0.35">
      <c r="B12210"/>
    </row>
    <row r="12211" spans="2:2" x14ac:dyDescent="0.35">
      <c r="B12211"/>
    </row>
    <row r="12212" spans="2:2" x14ac:dyDescent="0.35">
      <c r="B12212"/>
    </row>
    <row r="12213" spans="2:2" x14ac:dyDescent="0.35">
      <c r="B12213"/>
    </row>
    <row r="12214" spans="2:2" x14ac:dyDescent="0.35">
      <c r="B12214"/>
    </row>
    <row r="12215" spans="2:2" x14ac:dyDescent="0.35">
      <c r="B12215"/>
    </row>
    <row r="12216" spans="2:2" x14ac:dyDescent="0.35">
      <c r="B12216"/>
    </row>
    <row r="12217" spans="2:2" x14ac:dyDescent="0.35">
      <c r="B12217"/>
    </row>
    <row r="12218" spans="2:2" x14ac:dyDescent="0.35">
      <c r="B12218"/>
    </row>
    <row r="12219" spans="2:2" x14ac:dyDescent="0.35">
      <c r="B12219"/>
    </row>
    <row r="12220" spans="2:2" x14ac:dyDescent="0.35">
      <c r="B12220"/>
    </row>
    <row r="12221" spans="2:2" x14ac:dyDescent="0.35">
      <c r="B12221"/>
    </row>
    <row r="12222" spans="2:2" x14ac:dyDescent="0.35">
      <c r="B12222"/>
    </row>
    <row r="12223" spans="2:2" x14ac:dyDescent="0.35">
      <c r="B12223"/>
    </row>
    <row r="12224" spans="2:2" x14ac:dyDescent="0.35">
      <c r="B12224"/>
    </row>
    <row r="12225" spans="1:2" x14ac:dyDescent="0.35">
      <c r="B12225"/>
    </row>
    <row r="12226" spans="1:2" x14ac:dyDescent="0.35">
      <c r="B12226"/>
    </row>
    <row r="12227" spans="1:2" x14ac:dyDescent="0.35">
      <c r="B12227"/>
    </row>
    <row r="12228" spans="1:2" x14ac:dyDescent="0.35">
      <c r="B12228"/>
    </row>
    <row r="12229" spans="1:2" x14ac:dyDescent="0.35">
      <c r="B12229"/>
    </row>
    <row r="12230" spans="1:2" x14ac:dyDescent="0.35">
      <c r="A12230" s="36"/>
      <c r="B12230" s="36"/>
    </row>
    <row r="12231" spans="1:2" x14ac:dyDescent="0.35">
      <c r="B12231"/>
    </row>
    <row r="12232" spans="1:2" x14ac:dyDescent="0.35">
      <c r="B12232"/>
    </row>
    <row r="12233" spans="1:2" x14ac:dyDescent="0.35">
      <c r="B12233"/>
    </row>
    <row r="12234" spans="1:2" x14ac:dyDescent="0.35">
      <c r="B12234"/>
    </row>
    <row r="12235" spans="1:2" x14ac:dyDescent="0.35">
      <c r="B12235"/>
    </row>
    <row r="12236" spans="1:2" x14ac:dyDescent="0.35">
      <c r="B12236"/>
    </row>
    <row r="12237" spans="1:2" x14ac:dyDescent="0.35">
      <c r="B12237"/>
    </row>
    <row r="12238" spans="1:2" x14ac:dyDescent="0.35">
      <c r="B12238"/>
    </row>
    <row r="12239" spans="1:2" x14ac:dyDescent="0.35">
      <c r="B12239"/>
    </row>
    <row r="12240" spans="1:2" x14ac:dyDescent="0.35">
      <c r="B12240"/>
    </row>
    <row r="12241" spans="2:2" x14ac:dyDescent="0.35">
      <c r="B12241"/>
    </row>
    <row r="12242" spans="2:2" x14ac:dyDescent="0.35">
      <c r="B12242"/>
    </row>
    <row r="12243" spans="2:2" x14ac:dyDescent="0.35">
      <c r="B12243"/>
    </row>
    <row r="12244" spans="2:2" x14ac:dyDescent="0.35">
      <c r="B12244"/>
    </row>
    <row r="12245" spans="2:2" x14ac:dyDescent="0.35">
      <c r="B12245"/>
    </row>
    <row r="12246" spans="2:2" x14ac:dyDescent="0.35">
      <c r="B12246"/>
    </row>
    <row r="12247" spans="2:2" x14ac:dyDescent="0.35">
      <c r="B12247"/>
    </row>
    <row r="12248" spans="2:2" x14ac:dyDescent="0.35">
      <c r="B12248"/>
    </row>
    <row r="12249" spans="2:2" x14ac:dyDescent="0.35">
      <c r="B12249"/>
    </row>
    <row r="12250" spans="2:2" x14ac:dyDescent="0.35">
      <c r="B12250"/>
    </row>
    <row r="12251" spans="2:2" x14ac:dyDescent="0.35">
      <c r="B12251"/>
    </row>
    <row r="12252" spans="2:2" x14ac:dyDescent="0.35">
      <c r="B12252"/>
    </row>
    <row r="12253" spans="2:2" x14ac:dyDescent="0.35">
      <c r="B12253"/>
    </row>
    <row r="12254" spans="2:2" x14ac:dyDescent="0.35">
      <c r="B12254"/>
    </row>
    <row r="12255" spans="2:2" x14ac:dyDescent="0.35">
      <c r="B12255"/>
    </row>
    <row r="12256" spans="2:2" x14ac:dyDescent="0.35">
      <c r="B12256"/>
    </row>
    <row r="12257" spans="1:2" x14ac:dyDescent="0.35">
      <c r="B12257"/>
    </row>
    <row r="12258" spans="1:2" x14ac:dyDescent="0.35">
      <c r="B12258"/>
    </row>
    <row r="12259" spans="1:2" x14ac:dyDescent="0.35">
      <c r="B12259"/>
    </row>
    <row r="12260" spans="1:2" x14ac:dyDescent="0.35">
      <c r="B12260"/>
    </row>
    <row r="12261" spans="1:2" x14ac:dyDescent="0.35">
      <c r="B12261"/>
    </row>
    <row r="12262" spans="1:2" x14ac:dyDescent="0.35">
      <c r="B12262"/>
    </row>
    <row r="12263" spans="1:2" x14ac:dyDescent="0.35">
      <c r="B12263"/>
    </row>
    <row r="12264" spans="1:2" ht="15.5" x14ac:dyDescent="0.35">
      <c r="A12264" s="49"/>
      <c r="B12264" s="49"/>
    </row>
    <row r="12265" spans="1:2" x14ac:dyDescent="0.35">
      <c r="B12265"/>
    </row>
    <row r="12266" spans="1:2" x14ac:dyDescent="0.35">
      <c r="B12266"/>
    </row>
    <row r="12267" spans="1:2" x14ac:dyDescent="0.35">
      <c r="B12267"/>
    </row>
    <row r="12268" spans="1:2" x14ac:dyDescent="0.35">
      <c r="B12268"/>
    </row>
    <row r="12269" spans="1:2" x14ac:dyDescent="0.35">
      <c r="B12269"/>
    </row>
    <row r="12270" spans="1:2" x14ac:dyDescent="0.35">
      <c r="B12270"/>
    </row>
    <row r="12271" spans="1:2" x14ac:dyDescent="0.35">
      <c r="B12271"/>
    </row>
    <row r="12272" spans="1:2" x14ac:dyDescent="0.35">
      <c r="B12272"/>
    </row>
    <row r="12273" spans="1:2" x14ac:dyDescent="0.35">
      <c r="B12273"/>
    </row>
    <row r="12274" spans="1:2" ht="15.5" x14ac:dyDescent="0.35">
      <c r="A12274" s="49"/>
      <c r="B12274"/>
    </row>
    <row r="12275" spans="1:2" x14ac:dyDescent="0.35">
      <c r="B12275"/>
    </row>
    <row r="12276" spans="1:2" x14ac:dyDescent="0.35">
      <c r="B12276"/>
    </row>
    <row r="12277" spans="1:2" x14ac:dyDescent="0.35">
      <c r="B12277"/>
    </row>
    <row r="12278" spans="1:2" x14ac:dyDescent="0.35">
      <c r="B12278"/>
    </row>
    <row r="12290" spans="1:2" x14ac:dyDescent="0.35">
      <c r="B12290"/>
    </row>
    <row r="12291" spans="1:2" x14ac:dyDescent="0.35">
      <c r="B12291"/>
    </row>
    <row r="12292" spans="1:2" x14ac:dyDescent="0.35">
      <c r="B12292"/>
    </row>
    <row r="12293" spans="1:2" ht="15.5" x14ac:dyDescent="0.35">
      <c r="A12293" s="49"/>
      <c r="B12293" s="49"/>
    </row>
    <row r="12294" spans="1:2" x14ac:dyDescent="0.35">
      <c r="B12294"/>
    </row>
    <row r="12295" spans="1:2" x14ac:dyDescent="0.35">
      <c r="B12295"/>
    </row>
    <row r="12296" spans="1:2" x14ac:dyDescent="0.35">
      <c r="B12296"/>
    </row>
    <row r="12297" spans="1:2" x14ac:dyDescent="0.35">
      <c r="B12297"/>
    </row>
    <row r="12298" spans="1:2" x14ac:dyDescent="0.35">
      <c r="B12298"/>
    </row>
    <row r="12299" spans="1:2" x14ac:dyDescent="0.35">
      <c r="B12299"/>
    </row>
    <row r="12300" spans="1:2" x14ac:dyDescent="0.35">
      <c r="B12300"/>
    </row>
    <row r="12301" spans="1:2" x14ac:dyDescent="0.35">
      <c r="B12301"/>
    </row>
    <row r="12302" spans="1:2" x14ac:dyDescent="0.35">
      <c r="B12302"/>
    </row>
    <row r="12303" spans="1:2" ht="15.5" x14ac:dyDescent="0.35">
      <c r="A12303" s="49"/>
      <c r="B12303"/>
    </row>
    <row r="12304" spans="1:2" x14ac:dyDescent="0.35">
      <c r="B12304"/>
    </row>
    <row r="12305" spans="2:2" x14ac:dyDescent="0.35">
      <c r="B12305"/>
    </row>
    <row r="12306" spans="2:2" x14ac:dyDescent="0.35">
      <c r="B12306"/>
    </row>
    <row r="12307" spans="2:2" x14ac:dyDescent="0.35">
      <c r="B12307"/>
    </row>
    <row r="12319" spans="2:2" x14ac:dyDescent="0.35">
      <c r="B12319"/>
    </row>
    <row r="12320" spans="2:2" x14ac:dyDescent="0.35">
      <c r="B12320"/>
    </row>
    <row r="12321" spans="1:2" x14ac:dyDescent="0.35">
      <c r="B12321"/>
    </row>
    <row r="12322" spans="1:2" ht="15.5" x14ac:dyDescent="0.35">
      <c r="A12322" s="49"/>
      <c r="B12322" s="49"/>
    </row>
    <row r="12323" spans="1:2" x14ac:dyDescent="0.35">
      <c r="B12323"/>
    </row>
    <row r="12324" spans="1:2" x14ac:dyDescent="0.35">
      <c r="B12324"/>
    </row>
    <row r="12325" spans="1:2" x14ac:dyDescent="0.35">
      <c r="B12325"/>
    </row>
    <row r="12326" spans="1:2" x14ac:dyDescent="0.35">
      <c r="B12326"/>
    </row>
    <row r="12327" spans="1:2" x14ac:dyDescent="0.35">
      <c r="B12327"/>
    </row>
    <row r="12328" spans="1:2" x14ac:dyDescent="0.35">
      <c r="B12328"/>
    </row>
    <row r="12329" spans="1:2" x14ac:dyDescent="0.35">
      <c r="B12329"/>
    </row>
    <row r="12330" spans="1:2" x14ac:dyDescent="0.35">
      <c r="B12330"/>
    </row>
    <row r="12331" spans="1:2" x14ac:dyDescent="0.35">
      <c r="B12331"/>
    </row>
    <row r="12332" spans="1:2" ht="15.5" x14ac:dyDescent="0.35">
      <c r="A12332" s="49"/>
      <c r="B12332"/>
    </row>
    <row r="12333" spans="1:2" x14ac:dyDescent="0.35">
      <c r="B12333"/>
    </row>
    <row r="12334" spans="1:2" x14ac:dyDescent="0.35">
      <c r="B12334"/>
    </row>
    <row r="12335" spans="1:2" x14ac:dyDescent="0.35">
      <c r="B12335"/>
    </row>
    <row r="12336" spans="1:2" x14ac:dyDescent="0.35">
      <c r="B12336"/>
    </row>
    <row r="12348" spans="1:2" x14ac:dyDescent="0.35">
      <c r="B12348"/>
    </row>
    <row r="12349" spans="1:2" x14ac:dyDescent="0.35">
      <c r="B12349"/>
    </row>
    <row r="12350" spans="1:2" x14ac:dyDescent="0.35">
      <c r="B12350"/>
    </row>
    <row r="12351" spans="1:2" ht="15.5" x14ac:dyDescent="0.35">
      <c r="A12351" s="49"/>
      <c r="B12351" s="49"/>
    </row>
    <row r="12352" spans="1:2" x14ac:dyDescent="0.35">
      <c r="B12352"/>
    </row>
    <row r="12353" spans="1:2" x14ac:dyDescent="0.35">
      <c r="B12353"/>
    </row>
    <row r="12354" spans="1:2" x14ac:dyDescent="0.35">
      <c r="B12354"/>
    </row>
    <row r="12355" spans="1:2" x14ac:dyDescent="0.35">
      <c r="B12355"/>
    </row>
    <row r="12356" spans="1:2" x14ac:dyDescent="0.35">
      <c r="B12356"/>
    </row>
    <row r="12357" spans="1:2" x14ac:dyDescent="0.35">
      <c r="B12357"/>
    </row>
    <row r="12358" spans="1:2" x14ac:dyDescent="0.35">
      <c r="B12358"/>
    </row>
    <row r="12359" spans="1:2" x14ac:dyDescent="0.35">
      <c r="B12359"/>
    </row>
    <row r="12360" spans="1:2" x14ac:dyDescent="0.35">
      <c r="B12360"/>
    </row>
    <row r="12361" spans="1:2" ht="15.5" x14ac:dyDescent="0.35">
      <c r="A12361" s="49"/>
      <c r="B12361"/>
    </row>
    <row r="12362" spans="1:2" x14ac:dyDescent="0.35">
      <c r="B12362"/>
    </row>
    <row r="12363" spans="1:2" x14ac:dyDescent="0.35">
      <c r="B12363"/>
    </row>
    <row r="12364" spans="1:2" x14ac:dyDescent="0.35">
      <c r="B12364"/>
    </row>
    <row r="12365" spans="1:2" x14ac:dyDescent="0.35">
      <c r="B12365"/>
    </row>
    <row r="12377" spans="1:2" x14ac:dyDescent="0.35">
      <c r="B12377"/>
    </row>
    <row r="12378" spans="1:2" x14ac:dyDescent="0.35">
      <c r="B12378"/>
    </row>
    <row r="12379" spans="1:2" x14ac:dyDescent="0.35">
      <c r="B12379"/>
    </row>
    <row r="12380" spans="1:2" ht="15.5" x14ac:dyDescent="0.35">
      <c r="A12380" s="49"/>
      <c r="B12380" s="49"/>
    </row>
    <row r="12381" spans="1:2" x14ac:dyDescent="0.35">
      <c r="B12381"/>
    </row>
    <row r="12382" spans="1:2" x14ac:dyDescent="0.35">
      <c r="B12382"/>
    </row>
    <row r="12383" spans="1:2" x14ac:dyDescent="0.35">
      <c r="B12383"/>
    </row>
    <row r="12384" spans="1:2" x14ac:dyDescent="0.35">
      <c r="B12384"/>
    </row>
    <row r="12385" spans="1:2" x14ac:dyDescent="0.35">
      <c r="B12385"/>
    </row>
    <row r="12386" spans="1:2" x14ac:dyDescent="0.35">
      <c r="B12386"/>
    </row>
    <row r="12387" spans="1:2" x14ac:dyDescent="0.35">
      <c r="B12387"/>
    </row>
    <row r="12388" spans="1:2" x14ac:dyDescent="0.35">
      <c r="B12388"/>
    </row>
    <row r="12389" spans="1:2" x14ac:dyDescent="0.35">
      <c r="B12389"/>
    </row>
    <row r="12390" spans="1:2" ht="15.5" x14ac:dyDescent="0.35">
      <c r="A12390" s="49"/>
      <c r="B12390"/>
    </row>
    <row r="12391" spans="1:2" x14ac:dyDescent="0.35">
      <c r="B12391"/>
    </row>
    <row r="12392" spans="1:2" x14ac:dyDescent="0.35">
      <c r="B12392"/>
    </row>
    <row r="12393" spans="1:2" x14ac:dyDescent="0.35">
      <c r="B12393"/>
    </row>
    <row r="12394" spans="1:2" x14ac:dyDescent="0.35">
      <c r="B12394"/>
    </row>
    <row r="12406" spans="1:2" x14ac:dyDescent="0.35">
      <c r="B12406"/>
    </row>
    <row r="12407" spans="1:2" x14ac:dyDescent="0.35">
      <c r="B12407"/>
    </row>
    <row r="12408" spans="1:2" x14ac:dyDescent="0.35">
      <c r="B12408"/>
    </row>
    <row r="12409" spans="1:2" ht="15.5" x14ac:dyDescent="0.35">
      <c r="A12409" s="49"/>
      <c r="B12409" s="49"/>
    </row>
    <row r="12410" spans="1:2" x14ac:dyDescent="0.35">
      <c r="B12410"/>
    </row>
    <row r="12411" spans="1:2" x14ac:dyDescent="0.35">
      <c r="B12411"/>
    </row>
    <row r="12412" spans="1:2" x14ac:dyDescent="0.35">
      <c r="B12412"/>
    </row>
    <row r="12413" spans="1:2" x14ac:dyDescent="0.35">
      <c r="B12413"/>
    </row>
    <row r="12414" spans="1:2" x14ac:dyDescent="0.35">
      <c r="B12414"/>
    </row>
    <row r="12415" spans="1:2" x14ac:dyDescent="0.35">
      <c r="B12415"/>
    </row>
    <row r="12416" spans="1:2" x14ac:dyDescent="0.35">
      <c r="B12416"/>
    </row>
    <row r="12417" spans="1:2" x14ac:dyDescent="0.35">
      <c r="B12417"/>
    </row>
    <row r="12418" spans="1:2" x14ac:dyDescent="0.35">
      <c r="B12418"/>
    </row>
    <row r="12419" spans="1:2" ht="15.5" x14ac:dyDescent="0.35">
      <c r="A12419" s="49"/>
      <c r="B12419"/>
    </row>
    <row r="12420" spans="1:2" x14ac:dyDescent="0.35">
      <c r="B12420"/>
    </row>
    <row r="12421" spans="1:2" x14ac:dyDescent="0.35">
      <c r="B12421"/>
    </row>
    <row r="12422" spans="1:2" x14ac:dyDescent="0.35">
      <c r="B12422"/>
    </row>
    <row r="12423" spans="1:2" x14ac:dyDescent="0.35">
      <c r="B12423"/>
    </row>
    <row r="12435" spans="1:2" x14ac:dyDescent="0.35">
      <c r="B12435"/>
    </row>
    <row r="12436" spans="1:2" x14ac:dyDescent="0.35">
      <c r="B12436"/>
    </row>
    <row r="12437" spans="1:2" x14ac:dyDescent="0.35">
      <c r="B12437"/>
    </row>
    <row r="12438" spans="1:2" ht="15.5" x14ac:dyDescent="0.35">
      <c r="A12438" s="49"/>
      <c r="B12438" s="49"/>
    </row>
    <row r="12439" spans="1:2" x14ac:dyDescent="0.35">
      <c r="B12439"/>
    </row>
    <row r="12440" spans="1:2" x14ac:dyDescent="0.35">
      <c r="B12440"/>
    </row>
    <row r="12441" spans="1:2" x14ac:dyDescent="0.35">
      <c r="B12441"/>
    </row>
    <row r="12442" spans="1:2" x14ac:dyDescent="0.35">
      <c r="B12442"/>
    </row>
    <row r="12443" spans="1:2" x14ac:dyDescent="0.35">
      <c r="B12443"/>
    </row>
    <row r="12444" spans="1:2" x14ac:dyDescent="0.35">
      <c r="B12444"/>
    </row>
    <row r="12445" spans="1:2" x14ac:dyDescent="0.35">
      <c r="B12445"/>
    </row>
    <row r="12446" spans="1:2" x14ac:dyDescent="0.35">
      <c r="B12446"/>
    </row>
    <row r="12447" spans="1:2" x14ac:dyDescent="0.35">
      <c r="B12447"/>
    </row>
    <row r="12448" spans="1:2" ht="15.5" x14ac:dyDescent="0.35">
      <c r="A12448" s="49"/>
      <c r="B12448"/>
    </row>
    <row r="12449" spans="2:2" x14ac:dyDescent="0.35">
      <c r="B12449"/>
    </row>
    <row r="12450" spans="2:2" x14ac:dyDescent="0.35">
      <c r="B12450"/>
    </row>
    <row r="12451" spans="2:2" x14ac:dyDescent="0.35">
      <c r="B12451"/>
    </row>
    <row r="12452" spans="2:2" x14ac:dyDescent="0.35">
      <c r="B12452"/>
    </row>
    <row r="12464" spans="2:2" x14ac:dyDescent="0.35">
      <c r="B12464"/>
    </row>
    <row r="12465" spans="1:2" x14ac:dyDescent="0.35">
      <c r="B12465"/>
    </row>
    <row r="12466" spans="1:2" x14ac:dyDescent="0.35">
      <c r="B12466"/>
    </row>
    <row r="12467" spans="1:2" ht="15.5" x14ac:dyDescent="0.35">
      <c r="A12467" s="49"/>
      <c r="B12467" s="49"/>
    </row>
    <row r="12468" spans="1:2" x14ac:dyDescent="0.35">
      <c r="B12468"/>
    </row>
    <row r="12469" spans="1:2" x14ac:dyDescent="0.35">
      <c r="B12469"/>
    </row>
    <row r="12470" spans="1:2" x14ac:dyDescent="0.35">
      <c r="B12470"/>
    </row>
    <row r="12471" spans="1:2" x14ac:dyDescent="0.35">
      <c r="B12471"/>
    </row>
    <row r="12472" spans="1:2" x14ac:dyDescent="0.35">
      <c r="B12472"/>
    </row>
    <row r="12473" spans="1:2" x14ac:dyDescent="0.35">
      <c r="B12473"/>
    </row>
    <row r="12474" spans="1:2" x14ac:dyDescent="0.35">
      <c r="B12474"/>
    </row>
    <row r="12475" spans="1:2" x14ac:dyDescent="0.35">
      <c r="B12475"/>
    </row>
    <row r="12476" spans="1:2" x14ac:dyDescent="0.35">
      <c r="B12476"/>
    </row>
    <row r="12477" spans="1:2" ht="15.5" x14ac:dyDescent="0.35">
      <c r="A12477" s="49"/>
      <c r="B12477"/>
    </row>
    <row r="12478" spans="1:2" x14ac:dyDescent="0.35">
      <c r="B12478"/>
    </row>
    <row r="12479" spans="1:2" x14ac:dyDescent="0.35">
      <c r="B12479"/>
    </row>
    <row r="12480" spans="1:2" x14ac:dyDescent="0.35">
      <c r="B12480"/>
    </row>
    <row r="12481" spans="1:2" x14ac:dyDescent="0.35">
      <c r="B12481"/>
    </row>
    <row r="12493" spans="1:2" x14ac:dyDescent="0.35">
      <c r="B12493"/>
    </row>
    <row r="12494" spans="1:2" x14ac:dyDescent="0.35">
      <c r="B12494"/>
    </row>
    <row r="12495" spans="1:2" x14ac:dyDescent="0.35">
      <c r="B12495"/>
    </row>
    <row r="12496" spans="1:2" ht="15.5" x14ac:dyDescent="0.35">
      <c r="A12496" s="49"/>
      <c r="B12496" s="49"/>
    </row>
    <row r="12497" spans="1:2" x14ac:dyDescent="0.35">
      <c r="B12497"/>
    </row>
    <row r="12498" spans="1:2" x14ac:dyDescent="0.35">
      <c r="B12498"/>
    </row>
    <row r="12499" spans="1:2" x14ac:dyDescent="0.35">
      <c r="B12499"/>
    </row>
    <row r="12500" spans="1:2" x14ac:dyDescent="0.35">
      <c r="B12500"/>
    </row>
    <row r="12501" spans="1:2" x14ac:dyDescent="0.35">
      <c r="B12501"/>
    </row>
    <row r="12502" spans="1:2" x14ac:dyDescent="0.35">
      <c r="B12502"/>
    </row>
    <row r="12503" spans="1:2" x14ac:dyDescent="0.35">
      <c r="B12503"/>
    </row>
    <row r="12504" spans="1:2" x14ac:dyDescent="0.35">
      <c r="B12504"/>
    </row>
    <row r="12505" spans="1:2" x14ac:dyDescent="0.35">
      <c r="B12505"/>
    </row>
    <row r="12506" spans="1:2" ht="15.5" x14ac:dyDescent="0.35">
      <c r="A12506" s="49"/>
      <c r="B12506"/>
    </row>
    <row r="12507" spans="1:2" x14ac:dyDescent="0.35">
      <c r="B12507"/>
    </row>
    <row r="12508" spans="1:2" x14ac:dyDescent="0.35">
      <c r="B12508"/>
    </row>
    <row r="12509" spans="1:2" x14ac:dyDescent="0.35">
      <c r="B12509"/>
    </row>
    <row r="12510" spans="1:2" x14ac:dyDescent="0.35">
      <c r="B12510"/>
    </row>
    <row r="12522" spans="1:2" x14ac:dyDescent="0.35">
      <c r="B12522"/>
    </row>
    <row r="12523" spans="1:2" x14ac:dyDescent="0.35">
      <c r="B12523"/>
    </row>
    <row r="12524" spans="1:2" x14ac:dyDescent="0.35">
      <c r="B12524"/>
    </row>
    <row r="12525" spans="1:2" ht="15.5" x14ac:dyDescent="0.35">
      <c r="A12525" s="49"/>
      <c r="B12525" s="49"/>
    </row>
    <row r="12526" spans="1:2" x14ac:dyDescent="0.35">
      <c r="B12526"/>
    </row>
    <row r="12527" spans="1:2" x14ac:dyDescent="0.35">
      <c r="B12527"/>
    </row>
    <row r="12528" spans="1:2" x14ac:dyDescent="0.35">
      <c r="B12528"/>
    </row>
    <row r="12529" spans="1:2" x14ac:dyDescent="0.35">
      <c r="B12529"/>
    </row>
    <row r="12530" spans="1:2" x14ac:dyDescent="0.35">
      <c r="B12530"/>
    </row>
    <row r="12531" spans="1:2" x14ac:dyDescent="0.35">
      <c r="B12531"/>
    </row>
    <row r="12532" spans="1:2" x14ac:dyDescent="0.35">
      <c r="B12532"/>
    </row>
    <row r="12533" spans="1:2" x14ac:dyDescent="0.35">
      <c r="B12533"/>
    </row>
    <row r="12534" spans="1:2" x14ac:dyDescent="0.35">
      <c r="B12534"/>
    </row>
    <row r="12535" spans="1:2" ht="15.5" x14ac:dyDescent="0.35">
      <c r="A12535" s="49"/>
      <c r="B12535"/>
    </row>
    <row r="12536" spans="1:2" x14ac:dyDescent="0.35">
      <c r="B12536"/>
    </row>
    <row r="12537" spans="1:2" x14ac:dyDescent="0.35">
      <c r="B12537"/>
    </row>
    <row r="12538" spans="1:2" x14ac:dyDescent="0.35">
      <c r="B12538"/>
    </row>
    <row r="12539" spans="1:2" x14ac:dyDescent="0.35">
      <c r="B12539"/>
    </row>
    <row r="12551" spans="1:2" x14ac:dyDescent="0.35">
      <c r="B12551"/>
    </row>
    <row r="12552" spans="1:2" x14ac:dyDescent="0.35">
      <c r="B12552"/>
    </row>
    <row r="12553" spans="1:2" x14ac:dyDescent="0.35">
      <c r="B12553"/>
    </row>
    <row r="12554" spans="1:2" ht="15.5" x14ac:dyDescent="0.35">
      <c r="A12554" s="49"/>
      <c r="B12554" s="49"/>
    </row>
    <row r="12555" spans="1:2" x14ac:dyDescent="0.35">
      <c r="B12555"/>
    </row>
    <row r="12556" spans="1:2" x14ac:dyDescent="0.35">
      <c r="B12556"/>
    </row>
    <row r="12557" spans="1:2" x14ac:dyDescent="0.35">
      <c r="B12557"/>
    </row>
    <row r="12558" spans="1:2" x14ac:dyDescent="0.35">
      <c r="B12558"/>
    </row>
    <row r="12559" spans="1:2" x14ac:dyDescent="0.35">
      <c r="B12559"/>
    </row>
    <row r="12560" spans="1:2" x14ac:dyDescent="0.35">
      <c r="B12560"/>
    </row>
    <row r="12561" spans="1:2" x14ac:dyDescent="0.35">
      <c r="B12561"/>
    </row>
    <row r="12562" spans="1:2" x14ac:dyDescent="0.35">
      <c r="B12562"/>
    </row>
    <row r="12563" spans="1:2" x14ac:dyDescent="0.35">
      <c r="B12563"/>
    </row>
    <row r="12564" spans="1:2" ht="15.5" x14ac:dyDescent="0.35">
      <c r="A12564" s="49"/>
      <c r="B12564"/>
    </row>
    <row r="12565" spans="1:2" x14ac:dyDescent="0.35">
      <c r="B12565"/>
    </row>
    <row r="12566" spans="1:2" x14ac:dyDescent="0.35">
      <c r="B12566"/>
    </row>
    <row r="12567" spans="1:2" x14ac:dyDescent="0.35">
      <c r="B12567"/>
    </row>
    <row r="12568" spans="1:2" x14ac:dyDescent="0.35">
      <c r="B12568"/>
    </row>
    <row r="12580" spans="1:2" x14ac:dyDescent="0.35">
      <c r="B12580"/>
    </row>
    <row r="12581" spans="1:2" x14ac:dyDescent="0.35">
      <c r="B12581"/>
    </row>
    <row r="12582" spans="1:2" x14ac:dyDescent="0.35">
      <c r="B12582"/>
    </row>
    <row r="12583" spans="1:2" ht="15.5" x14ac:dyDescent="0.35">
      <c r="A12583" s="49"/>
      <c r="B12583" s="49"/>
    </row>
    <row r="12584" spans="1:2" x14ac:dyDescent="0.35">
      <c r="B12584"/>
    </row>
    <row r="12585" spans="1:2" x14ac:dyDescent="0.35">
      <c r="B12585"/>
    </row>
    <row r="12586" spans="1:2" x14ac:dyDescent="0.35">
      <c r="B12586"/>
    </row>
    <row r="12587" spans="1:2" x14ac:dyDescent="0.35">
      <c r="B12587"/>
    </row>
    <row r="12588" spans="1:2" x14ac:dyDescent="0.35">
      <c r="B12588"/>
    </row>
    <row r="12589" spans="1:2" x14ac:dyDescent="0.35">
      <c r="B12589"/>
    </row>
    <row r="12590" spans="1:2" x14ac:dyDescent="0.35">
      <c r="B12590"/>
    </row>
    <row r="12591" spans="1:2" x14ac:dyDescent="0.35">
      <c r="B12591"/>
    </row>
    <row r="12592" spans="1:2" x14ac:dyDescent="0.35">
      <c r="B12592"/>
    </row>
    <row r="12593" spans="1:2" ht="15.5" x14ac:dyDescent="0.35">
      <c r="A12593" s="49"/>
      <c r="B12593"/>
    </row>
    <row r="12594" spans="1:2" x14ac:dyDescent="0.35">
      <c r="B12594"/>
    </row>
    <row r="12595" spans="1:2" x14ac:dyDescent="0.35">
      <c r="B12595"/>
    </row>
    <row r="12596" spans="1:2" x14ac:dyDescent="0.35">
      <c r="B12596"/>
    </row>
    <row r="12597" spans="1:2" x14ac:dyDescent="0.35">
      <c r="B12597"/>
    </row>
    <row r="12609" spans="1:2" x14ac:dyDescent="0.35">
      <c r="B12609"/>
    </row>
    <row r="12610" spans="1:2" x14ac:dyDescent="0.35">
      <c r="B12610"/>
    </row>
    <row r="12611" spans="1:2" x14ac:dyDescent="0.35">
      <c r="B12611"/>
    </row>
    <row r="12612" spans="1:2" ht="15.5" x14ac:dyDescent="0.35">
      <c r="A12612" s="49"/>
      <c r="B12612" s="49"/>
    </row>
    <row r="12613" spans="1:2" x14ac:dyDescent="0.35">
      <c r="B12613"/>
    </row>
    <row r="12614" spans="1:2" x14ac:dyDescent="0.35">
      <c r="B12614"/>
    </row>
    <row r="12615" spans="1:2" x14ac:dyDescent="0.35">
      <c r="B12615"/>
    </row>
    <row r="12616" spans="1:2" x14ac:dyDescent="0.35">
      <c r="B12616"/>
    </row>
    <row r="12617" spans="1:2" x14ac:dyDescent="0.35">
      <c r="B12617"/>
    </row>
    <row r="12618" spans="1:2" x14ac:dyDescent="0.35">
      <c r="B12618"/>
    </row>
    <row r="12619" spans="1:2" x14ac:dyDescent="0.35">
      <c r="B12619"/>
    </row>
    <row r="12620" spans="1:2" x14ac:dyDescent="0.35">
      <c r="B12620"/>
    </row>
    <row r="12621" spans="1:2" x14ac:dyDescent="0.35">
      <c r="B12621"/>
    </row>
    <row r="12622" spans="1:2" ht="15.5" x14ac:dyDescent="0.35">
      <c r="A12622" s="49"/>
      <c r="B12622"/>
    </row>
    <row r="12623" spans="1:2" x14ac:dyDescent="0.35">
      <c r="B12623"/>
    </row>
    <row r="12624" spans="1:2" x14ac:dyDescent="0.35">
      <c r="B12624"/>
    </row>
    <row r="12625" spans="2:2" x14ac:dyDescent="0.35">
      <c r="B12625"/>
    </row>
    <row r="12626" spans="2:2" x14ac:dyDescent="0.35">
      <c r="B12626"/>
    </row>
    <row r="12638" spans="2:2" x14ac:dyDescent="0.35">
      <c r="B12638"/>
    </row>
    <row r="12639" spans="2:2" x14ac:dyDescent="0.35">
      <c r="B12639"/>
    </row>
    <row r="12640" spans="2:2" x14ac:dyDescent="0.35">
      <c r="B12640"/>
    </row>
    <row r="12641" spans="1:2" ht="15.5" x14ac:dyDescent="0.35">
      <c r="A12641" s="49"/>
      <c r="B12641" s="49"/>
    </row>
    <row r="12642" spans="1:2" x14ac:dyDescent="0.35">
      <c r="B12642"/>
    </row>
    <row r="12643" spans="1:2" x14ac:dyDescent="0.35">
      <c r="B12643"/>
    </row>
    <row r="12644" spans="1:2" x14ac:dyDescent="0.35">
      <c r="B12644"/>
    </row>
    <row r="12645" spans="1:2" x14ac:dyDescent="0.35">
      <c r="B12645"/>
    </row>
    <row r="12646" spans="1:2" x14ac:dyDescent="0.35">
      <c r="B12646"/>
    </row>
    <row r="12647" spans="1:2" x14ac:dyDescent="0.35">
      <c r="B12647"/>
    </row>
    <row r="12648" spans="1:2" x14ac:dyDescent="0.35">
      <c r="B12648"/>
    </row>
    <row r="12649" spans="1:2" x14ac:dyDescent="0.35">
      <c r="B12649"/>
    </row>
    <row r="12650" spans="1:2" x14ac:dyDescent="0.35">
      <c r="B12650"/>
    </row>
    <row r="12651" spans="1:2" ht="15.5" x14ac:dyDescent="0.35">
      <c r="A12651" s="49"/>
      <c r="B12651"/>
    </row>
    <row r="12652" spans="1:2" x14ac:dyDescent="0.35">
      <c r="B12652"/>
    </row>
    <row r="12653" spans="1:2" x14ac:dyDescent="0.35">
      <c r="B12653"/>
    </row>
    <row r="12654" spans="1:2" x14ac:dyDescent="0.35">
      <c r="B12654"/>
    </row>
    <row r="12655" spans="1:2" x14ac:dyDescent="0.35">
      <c r="B12655"/>
    </row>
    <row r="12667" spans="1:2" x14ac:dyDescent="0.35">
      <c r="B12667"/>
    </row>
    <row r="12668" spans="1:2" x14ac:dyDescent="0.35">
      <c r="B12668"/>
    </row>
    <row r="12669" spans="1:2" x14ac:dyDescent="0.35">
      <c r="B12669"/>
    </row>
    <row r="12670" spans="1:2" ht="15.5" x14ac:dyDescent="0.35">
      <c r="A12670" s="49"/>
      <c r="B12670" s="49"/>
    </row>
    <row r="12671" spans="1:2" x14ac:dyDescent="0.35">
      <c r="B12671"/>
    </row>
    <row r="12672" spans="1:2" x14ac:dyDescent="0.35">
      <c r="B12672"/>
    </row>
    <row r="12673" spans="1:2" x14ac:dyDescent="0.35">
      <c r="B12673"/>
    </row>
    <row r="12674" spans="1:2" x14ac:dyDescent="0.35">
      <c r="B12674"/>
    </row>
    <row r="12675" spans="1:2" x14ac:dyDescent="0.35">
      <c r="B12675"/>
    </row>
    <row r="12676" spans="1:2" x14ac:dyDescent="0.35">
      <c r="B12676"/>
    </row>
    <row r="12677" spans="1:2" x14ac:dyDescent="0.35">
      <c r="B12677"/>
    </row>
    <row r="12678" spans="1:2" x14ac:dyDescent="0.35">
      <c r="B12678"/>
    </row>
    <row r="12679" spans="1:2" x14ac:dyDescent="0.35">
      <c r="B12679"/>
    </row>
    <row r="12680" spans="1:2" ht="15.5" x14ac:dyDescent="0.35">
      <c r="A12680" s="49"/>
      <c r="B12680"/>
    </row>
    <row r="12681" spans="1:2" x14ac:dyDescent="0.35">
      <c r="B12681"/>
    </row>
    <row r="12682" spans="1:2" x14ac:dyDescent="0.35">
      <c r="B12682"/>
    </row>
    <row r="12683" spans="1:2" x14ac:dyDescent="0.35">
      <c r="B12683"/>
    </row>
    <row r="12684" spans="1:2" x14ac:dyDescent="0.35">
      <c r="B12684"/>
    </row>
    <row r="12696" spans="1:2" x14ac:dyDescent="0.35">
      <c r="B12696"/>
    </row>
    <row r="12697" spans="1:2" x14ac:dyDescent="0.35">
      <c r="B12697"/>
    </row>
    <row r="12698" spans="1:2" x14ac:dyDescent="0.35">
      <c r="B12698"/>
    </row>
    <row r="12699" spans="1:2" ht="15.5" x14ac:dyDescent="0.35">
      <c r="A12699" s="49"/>
      <c r="B12699" s="49"/>
    </row>
    <row r="12700" spans="1:2" x14ac:dyDescent="0.35">
      <c r="B12700"/>
    </row>
    <row r="12701" spans="1:2" x14ac:dyDescent="0.35">
      <c r="B12701"/>
    </row>
    <row r="12702" spans="1:2" x14ac:dyDescent="0.35">
      <c r="B12702"/>
    </row>
    <row r="12703" spans="1:2" x14ac:dyDescent="0.35">
      <c r="B12703"/>
    </row>
    <row r="12704" spans="1:2" x14ac:dyDescent="0.35">
      <c r="B12704"/>
    </row>
    <row r="12705" spans="1:2" x14ac:dyDescent="0.35">
      <c r="B12705"/>
    </row>
    <row r="12706" spans="1:2" x14ac:dyDescent="0.35">
      <c r="B12706"/>
    </row>
    <row r="12707" spans="1:2" x14ac:dyDescent="0.35">
      <c r="B12707"/>
    </row>
    <row r="12708" spans="1:2" x14ac:dyDescent="0.35">
      <c r="B12708"/>
    </row>
    <row r="12709" spans="1:2" ht="15.5" x14ac:dyDescent="0.35">
      <c r="A12709" s="49"/>
      <c r="B12709"/>
    </row>
    <row r="12710" spans="1:2" x14ac:dyDescent="0.35">
      <c r="B12710"/>
    </row>
    <row r="12711" spans="1:2" x14ac:dyDescent="0.35">
      <c r="B12711"/>
    </row>
    <row r="12712" spans="1:2" x14ac:dyDescent="0.35">
      <c r="B12712"/>
    </row>
    <row r="12713" spans="1:2" x14ac:dyDescent="0.35">
      <c r="B12713"/>
    </row>
    <row r="12725" spans="1:2" x14ac:dyDescent="0.35">
      <c r="B12725"/>
    </row>
    <row r="12726" spans="1:2" x14ac:dyDescent="0.35">
      <c r="B12726"/>
    </row>
    <row r="12727" spans="1:2" x14ac:dyDescent="0.35">
      <c r="B12727"/>
    </row>
    <row r="12728" spans="1:2" ht="15.5" x14ac:dyDescent="0.35">
      <c r="A12728" s="49"/>
      <c r="B12728" s="49"/>
    </row>
    <row r="12729" spans="1:2" x14ac:dyDescent="0.35">
      <c r="B12729"/>
    </row>
    <row r="12730" spans="1:2" x14ac:dyDescent="0.35">
      <c r="B12730"/>
    </row>
    <row r="12731" spans="1:2" x14ac:dyDescent="0.35">
      <c r="B12731"/>
    </row>
    <row r="12732" spans="1:2" x14ac:dyDescent="0.35">
      <c r="B12732"/>
    </row>
    <row r="12733" spans="1:2" x14ac:dyDescent="0.35">
      <c r="B12733"/>
    </row>
    <row r="12734" spans="1:2" x14ac:dyDescent="0.35">
      <c r="B12734"/>
    </row>
    <row r="12735" spans="1:2" x14ac:dyDescent="0.35">
      <c r="B12735"/>
    </row>
    <row r="12736" spans="1:2" x14ac:dyDescent="0.35">
      <c r="B12736"/>
    </row>
    <row r="12737" spans="1:2" x14ac:dyDescent="0.35">
      <c r="B12737"/>
    </row>
    <row r="12738" spans="1:2" ht="15.5" x14ac:dyDescent="0.35">
      <c r="A12738" s="49"/>
      <c r="B12738"/>
    </row>
    <row r="12739" spans="1:2" x14ac:dyDescent="0.35">
      <c r="B12739"/>
    </row>
    <row r="12740" spans="1:2" x14ac:dyDescent="0.35">
      <c r="B12740"/>
    </row>
    <row r="12741" spans="1:2" x14ac:dyDescent="0.35">
      <c r="B12741"/>
    </row>
    <row r="12742" spans="1:2" x14ac:dyDescent="0.35">
      <c r="B12742"/>
    </row>
    <row r="12754" spans="1:2" x14ac:dyDescent="0.35">
      <c r="B12754"/>
    </row>
    <row r="12755" spans="1:2" x14ac:dyDescent="0.35">
      <c r="B12755"/>
    </row>
    <row r="12756" spans="1:2" x14ac:dyDescent="0.35">
      <c r="B12756"/>
    </row>
    <row r="12757" spans="1:2" ht="15.5" x14ac:dyDescent="0.35">
      <c r="A12757" s="49"/>
      <c r="B12757" s="49"/>
    </row>
    <row r="12758" spans="1:2" x14ac:dyDescent="0.35">
      <c r="B12758"/>
    </row>
    <row r="12759" spans="1:2" x14ac:dyDescent="0.35">
      <c r="B12759"/>
    </row>
    <row r="12760" spans="1:2" x14ac:dyDescent="0.35">
      <c r="B12760"/>
    </row>
    <row r="12761" spans="1:2" x14ac:dyDescent="0.35">
      <c r="B12761"/>
    </row>
    <row r="12762" spans="1:2" x14ac:dyDescent="0.35">
      <c r="B12762"/>
    </row>
    <row r="12763" spans="1:2" x14ac:dyDescent="0.35">
      <c r="B12763"/>
    </row>
    <row r="12764" spans="1:2" x14ac:dyDescent="0.35">
      <c r="B12764"/>
    </row>
    <row r="12765" spans="1:2" x14ac:dyDescent="0.35">
      <c r="B12765"/>
    </row>
    <row r="12766" spans="1:2" x14ac:dyDescent="0.35">
      <c r="B12766"/>
    </row>
    <row r="12767" spans="1:2" ht="15.5" x14ac:dyDescent="0.35">
      <c r="A12767" s="49"/>
      <c r="B12767"/>
    </row>
    <row r="12768" spans="1:2" x14ac:dyDescent="0.35">
      <c r="B12768"/>
    </row>
    <row r="12769" spans="2:2" x14ac:dyDescent="0.35">
      <c r="B12769"/>
    </row>
    <row r="12770" spans="2:2" x14ac:dyDescent="0.35">
      <c r="B12770"/>
    </row>
    <row r="12771" spans="2:2" x14ac:dyDescent="0.35">
      <c r="B12771"/>
    </row>
    <row r="12783" spans="2:2" x14ac:dyDescent="0.35">
      <c r="B12783"/>
    </row>
    <row r="12784" spans="2:2" x14ac:dyDescent="0.35">
      <c r="B12784"/>
    </row>
    <row r="12785" spans="1:2" x14ac:dyDescent="0.35">
      <c r="B12785"/>
    </row>
    <row r="12786" spans="1:2" ht="15.5" x14ac:dyDescent="0.35">
      <c r="A12786" s="49"/>
      <c r="B12786" s="49"/>
    </row>
    <row r="12787" spans="1:2" x14ac:dyDescent="0.35">
      <c r="B12787"/>
    </row>
    <row r="12788" spans="1:2" x14ac:dyDescent="0.35">
      <c r="B12788"/>
    </row>
    <row r="12789" spans="1:2" x14ac:dyDescent="0.35">
      <c r="B12789"/>
    </row>
    <row r="12790" spans="1:2" x14ac:dyDescent="0.35">
      <c r="B12790"/>
    </row>
    <row r="12791" spans="1:2" x14ac:dyDescent="0.35">
      <c r="B12791"/>
    </row>
    <row r="12792" spans="1:2" x14ac:dyDescent="0.35">
      <c r="B12792"/>
    </row>
    <row r="12793" spans="1:2" x14ac:dyDescent="0.35">
      <c r="B12793"/>
    </row>
    <row r="12794" spans="1:2" x14ac:dyDescent="0.35">
      <c r="B12794"/>
    </row>
    <row r="12795" spans="1:2" x14ac:dyDescent="0.35">
      <c r="B12795"/>
    </row>
    <row r="12796" spans="1:2" ht="15.5" x14ac:dyDescent="0.35">
      <c r="A12796" s="49"/>
      <c r="B12796"/>
    </row>
    <row r="12797" spans="1:2" x14ac:dyDescent="0.35">
      <c r="B12797"/>
    </row>
    <row r="12798" spans="1:2" x14ac:dyDescent="0.35">
      <c r="B12798"/>
    </row>
    <row r="12799" spans="1:2" x14ac:dyDescent="0.35">
      <c r="B12799"/>
    </row>
    <row r="12800" spans="1:2" x14ac:dyDescent="0.35">
      <c r="B12800"/>
    </row>
    <row r="12812" spans="1:2" x14ac:dyDescent="0.35">
      <c r="B12812"/>
    </row>
    <row r="12813" spans="1:2" x14ac:dyDescent="0.35">
      <c r="B12813"/>
    </row>
    <row r="12814" spans="1:2" x14ac:dyDescent="0.35">
      <c r="B12814"/>
    </row>
    <row r="12815" spans="1:2" ht="15.5" x14ac:dyDescent="0.35">
      <c r="A12815" s="49"/>
      <c r="B12815" s="49"/>
    </row>
    <row r="12816" spans="1:2" x14ac:dyDescent="0.35">
      <c r="B12816"/>
    </row>
    <row r="12817" spans="1:2" x14ac:dyDescent="0.35">
      <c r="B12817"/>
    </row>
    <row r="12818" spans="1:2" x14ac:dyDescent="0.35">
      <c r="B12818"/>
    </row>
    <row r="12819" spans="1:2" x14ac:dyDescent="0.35">
      <c r="B12819"/>
    </row>
    <row r="12820" spans="1:2" x14ac:dyDescent="0.35">
      <c r="B12820"/>
    </row>
    <row r="12821" spans="1:2" x14ac:dyDescent="0.35">
      <c r="B12821"/>
    </row>
    <row r="12822" spans="1:2" x14ac:dyDescent="0.35">
      <c r="B12822"/>
    </row>
    <row r="12823" spans="1:2" x14ac:dyDescent="0.35">
      <c r="B12823"/>
    </row>
    <row r="12824" spans="1:2" x14ac:dyDescent="0.35">
      <c r="B12824"/>
    </row>
    <row r="12825" spans="1:2" ht="15.5" x14ac:dyDescent="0.35">
      <c r="A12825" s="49"/>
      <c r="B12825"/>
    </row>
    <row r="12826" spans="1:2" x14ac:dyDescent="0.35">
      <c r="B12826"/>
    </row>
    <row r="12827" spans="1:2" x14ac:dyDescent="0.35">
      <c r="B12827"/>
    </row>
    <row r="12828" spans="1:2" x14ac:dyDescent="0.35">
      <c r="B12828"/>
    </row>
    <row r="12829" spans="1:2" x14ac:dyDescent="0.35">
      <c r="B12829"/>
    </row>
    <row r="12841" spans="1:2" x14ac:dyDescent="0.35">
      <c r="B12841"/>
    </row>
    <row r="12842" spans="1:2" x14ac:dyDescent="0.35">
      <c r="B12842"/>
    </row>
    <row r="12843" spans="1:2" x14ac:dyDescent="0.35">
      <c r="B12843"/>
    </row>
    <row r="12844" spans="1:2" ht="15.5" x14ac:dyDescent="0.35">
      <c r="A12844" s="49"/>
      <c r="B12844" s="49"/>
    </row>
    <row r="12845" spans="1:2" x14ac:dyDescent="0.35">
      <c r="B12845"/>
    </row>
    <row r="12846" spans="1:2" x14ac:dyDescent="0.35">
      <c r="B12846"/>
    </row>
    <row r="12847" spans="1:2" x14ac:dyDescent="0.35">
      <c r="B12847"/>
    </row>
    <row r="12848" spans="1:2" x14ac:dyDescent="0.35">
      <c r="B12848"/>
    </row>
    <row r="12849" spans="1:2" x14ac:dyDescent="0.35">
      <c r="B12849"/>
    </row>
    <row r="12850" spans="1:2" x14ac:dyDescent="0.35">
      <c r="B12850"/>
    </row>
    <row r="12851" spans="1:2" x14ac:dyDescent="0.35">
      <c r="B12851"/>
    </row>
    <row r="12852" spans="1:2" x14ac:dyDescent="0.35">
      <c r="B12852"/>
    </row>
    <row r="12853" spans="1:2" x14ac:dyDescent="0.35">
      <c r="B12853"/>
    </row>
    <row r="12854" spans="1:2" ht="15.5" x14ac:dyDescent="0.35">
      <c r="A12854" s="49"/>
      <c r="B12854"/>
    </row>
    <row r="12855" spans="1:2" x14ac:dyDescent="0.35">
      <c r="B12855"/>
    </row>
    <row r="12856" spans="1:2" x14ac:dyDescent="0.35">
      <c r="B12856"/>
    </row>
    <row r="12857" spans="1:2" x14ac:dyDescent="0.35">
      <c r="B12857"/>
    </row>
    <row r="12858" spans="1:2" x14ac:dyDescent="0.35">
      <c r="B12858"/>
    </row>
    <row r="12870" spans="1:2" x14ac:dyDescent="0.35">
      <c r="B12870"/>
    </row>
    <row r="12871" spans="1:2" x14ac:dyDescent="0.35">
      <c r="B12871"/>
    </row>
    <row r="12872" spans="1:2" x14ac:dyDescent="0.35">
      <c r="B12872"/>
    </row>
    <row r="12873" spans="1:2" ht="15.5" x14ac:dyDescent="0.35">
      <c r="A12873" s="49"/>
      <c r="B12873" s="49"/>
    </row>
    <row r="12874" spans="1:2" x14ac:dyDescent="0.35">
      <c r="B12874"/>
    </row>
    <row r="12875" spans="1:2" x14ac:dyDescent="0.35">
      <c r="B12875"/>
    </row>
    <row r="12876" spans="1:2" x14ac:dyDescent="0.35">
      <c r="B12876"/>
    </row>
    <row r="12877" spans="1:2" x14ac:dyDescent="0.35">
      <c r="B12877"/>
    </row>
    <row r="12878" spans="1:2" x14ac:dyDescent="0.35">
      <c r="B12878"/>
    </row>
    <row r="12879" spans="1:2" x14ac:dyDescent="0.35">
      <c r="B12879"/>
    </row>
    <row r="12880" spans="1:2" x14ac:dyDescent="0.35">
      <c r="B12880"/>
    </row>
    <row r="12881" spans="1:2" x14ac:dyDescent="0.35">
      <c r="B12881"/>
    </row>
    <row r="12882" spans="1:2" x14ac:dyDescent="0.35">
      <c r="B12882"/>
    </row>
    <row r="12883" spans="1:2" ht="15.5" x14ac:dyDescent="0.35">
      <c r="A12883" s="49"/>
      <c r="B12883"/>
    </row>
    <row r="12884" spans="1:2" x14ac:dyDescent="0.35">
      <c r="B12884"/>
    </row>
    <row r="12885" spans="1:2" x14ac:dyDescent="0.35">
      <c r="B12885"/>
    </row>
    <row r="12886" spans="1:2" x14ac:dyDescent="0.35">
      <c r="B12886"/>
    </row>
    <row r="12887" spans="1:2" x14ac:dyDescent="0.35">
      <c r="B12887"/>
    </row>
    <row r="12899" spans="1:2" x14ac:dyDescent="0.35">
      <c r="B12899"/>
    </row>
    <row r="12900" spans="1:2" x14ac:dyDescent="0.35">
      <c r="B12900"/>
    </row>
    <row r="12901" spans="1:2" x14ac:dyDescent="0.35">
      <c r="B12901"/>
    </row>
    <row r="12902" spans="1:2" ht="15.5" x14ac:dyDescent="0.35">
      <c r="A12902" s="49"/>
      <c r="B12902" s="49"/>
    </row>
    <row r="12903" spans="1:2" x14ac:dyDescent="0.35">
      <c r="B12903"/>
    </row>
    <row r="12904" spans="1:2" x14ac:dyDescent="0.35">
      <c r="B12904"/>
    </row>
    <row r="12905" spans="1:2" x14ac:dyDescent="0.35">
      <c r="B12905"/>
    </row>
    <row r="12906" spans="1:2" x14ac:dyDescent="0.35">
      <c r="B12906"/>
    </row>
    <row r="12907" spans="1:2" x14ac:dyDescent="0.35">
      <c r="B12907"/>
    </row>
    <row r="12908" spans="1:2" x14ac:dyDescent="0.35">
      <c r="B12908"/>
    </row>
    <row r="12909" spans="1:2" x14ac:dyDescent="0.35">
      <c r="B12909"/>
    </row>
    <row r="12910" spans="1:2" x14ac:dyDescent="0.35">
      <c r="B12910"/>
    </row>
    <row r="12911" spans="1:2" x14ac:dyDescent="0.35">
      <c r="B12911"/>
    </row>
    <row r="12912" spans="1:2" ht="15.5" x14ac:dyDescent="0.35">
      <c r="A12912" s="49"/>
      <c r="B12912"/>
    </row>
    <row r="12913" spans="2:2" x14ac:dyDescent="0.35">
      <c r="B12913"/>
    </row>
    <row r="12914" spans="2:2" x14ac:dyDescent="0.35">
      <c r="B12914"/>
    </row>
    <row r="12915" spans="2:2" x14ac:dyDescent="0.35">
      <c r="B12915"/>
    </row>
    <row r="12916" spans="2:2" x14ac:dyDescent="0.35">
      <c r="B12916"/>
    </row>
    <row r="12928" spans="2:2" x14ac:dyDescent="0.35">
      <c r="B12928"/>
    </row>
    <row r="12929" spans="1:2" x14ac:dyDescent="0.35">
      <c r="B12929"/>
    </row>
    <row r="12930" spans="1:2" x14ac:dyDescent="0.35">
      <c r="B12930"/>
    </row>
    <row r="12931" spans="1:2" ht="15.5" x14ac:dyDescent="0.35">
      <c r="A12931" s="49"/>
      <c r="B12931" s="49"/>
    </row>
    <row r="12932" spans="1:2" x14ac:dyDescent="0.35">
      <c r="B12932"/>
    </row>
    <row r="12933" spans="1:2" x14ac:dyDescent="0.35">
      <c r="B12933"/>
    </row>
    <row r="12934" spans="1:2" x14ac:dyDescent="0.35">
      <c r="B12934"/>
    </row>
    <row r="12935" spans="1:2" x14ac:dyDescent="0.35">
      <c r="B12935"/>
    </row>
    <row r="12936" spans="1:2" x14ac:dyDescent="0.35">
      <c r="B12936"/>
    </row>
    <row r="12937" spans="1:2" x14ac:dyDescent="0.35">
      <c r="B12937"/>
    </row>
    <row r="12938" spans="1:2" x14ac:dyDescent="0.35">
      <c r="B12938"/>
    </row>
    <row r="12939" spans="1:2" x14ac:dyDescent="0.35">
      <c r="B12939"/>
    </row>
    <row r="12940" spans="1:2" x14ac:dyDescent="0.35">
      <c r="B12940"/>
    </row>
    <row r="12941" spans="1:2" ht="15.5" x14ac:dyDescent="0.35">
      <c r="A12941" s="49"/>
      <c r="B12941"/>
    </row>
    <row r="12942" spans="1:2" x14ac:dyDescent="0.35">
      <c r="B12942"/>
    </row>
    <row r="12943" spans="1:2" x14ac:dyDescent="0.35">
      <c r="B12943"/>
    </row>
    <row r="12944" spans="1:2" x14ac:dyDescent="0.35">
      <c r="B12944"/>
    </row>
    <row r="12945" spans="1:2" x14ac:dyDescent="0.35">
      <c r="B12945"/>
    </row>
    <row r="12957" spans="1:2" x14ac:dyDescent="0.35">
      <c r="B12957"/>
    </row>
    <row r="12958" spans="1:2" x14ac:dyDescent="0.35">
      <c r="B12958"/>
    </row>
    <row r="12959" spans="1:2" x14ac:dyDescent="0.35">
      <c r="B12959"/>
    </row>
    <row r="12960" spans="1:2" ht="15.5" x14ac:dyDescent="0.35">
      <c r="A12960" s="49"/>
      <c r="B12960" s="49"/>
    </row>
    <row r="12961" spans="1:2" x14ac:dyDescent="0.35">
      <c r="B12961"/>
    </row>
    <row r="12962" spans="1:2" x14ac:dyDescent="0.35">
      <c r="B12962"/>
    </row>
    <row r="12963" spans="1:2" x14ac:dyDescent="0.35">
      <c r="B12963"/>
    </row>
    <row r="12964" spans="1:2" x14ac:dyDescent="0.35">
      <c r="B12964"/>
    </row>
    <row r="12965" spans="1:2" x14ac:dyDescent="0.35">
      <c r="B12965"/>
    </row>
    <row r="12966" spans="1:2" x14ac:dyDescent="0.35">
      <c r="B12966"/>
    </row>
    <row r="12967" spans="1:2" x14ac:dyDescent="0.35">
      <c r="B12967"/>
    </row>
    <row r="12968" spans="1:2" x14ac:dyDescent="0.35">
      <c r="B12968"/>
    </row>
    <row r="12969" spans="1:2" x14ac:dyDescent="0.35">
      <c r="B12969"/>
    </row>
    <row r="12970" spans="1:2" ht="15.5" x14ac:dyDescent="0.35">
      <c r="A12970" s="49"/>
      <c r="B12970"/>
    </row>
    <row r="12971" spans="1:2" x14ac:dyDescent="0.35">
      <c r="B12971"/>
    </row>
    <row r="12972" spans="1:2" x14ac:dyDescent="0.35">
      <c r="B12972"/>
    </row>
    <row r="12973" spans="1:2" x14ac:dyDescent="0.35">
      <c r="B12973"/>
    </row>
    <row r="12974" spans="1:2" x14ac:dyDescent="0.35">
      <c r="B12974"/>
    </row>
    <row r="12986" spans="1:2" x14ac:dyDescent="0.35">
      <c r="B12986"/>
    </row>
    <row r="12987" spans="1:2" x14ac:dyDescent="0.35">
      <c r="B12987"/>
    </row>
    <row r="12988" spans="1:2" x14ac:dyDescent="0.35">
      <c r="B12988"/>
    </row>
    <row r="12989" spans="1:2" ht="15.5" x14ac:dyDescent="0.35">
      <c r="A12989" s="49"/>
      <c r="B12989" s="49"/>
    </row>
    <row r="12990" spans="1:2" x14ac:dyDescent="0.35">
      <c r="B12990"/>
    </row>
    <row r="12991" spans="1:2" x14ac:dyDescent="0.35">
      <c r="B12991"/>
    </row>
    <row r="12992" spans="1:2" x14ac:dyDescent="0.35">
      <c r="B12992"/>
    </row>
    <row r="12993" spans="1:2" x14ac:dyDescent="0.35">
      <c r="B12993"/>
    </row>
    <row r="12994" spans="1:2" x14ac:dyDescent="0.35">
      <c r="B12994"/>
    </row>
    <row r="12995" spans="1:2" x14ac:dyDescent="0.35">
      <c r="B12995"/>
    </row>
    <row r="12996" spans="1:2" x14ac:dyDescent="0.35">
      <c r="B12996"/>
    </row>
    <row r="12997" spans="1:2" x14ac:dyDescent="0.35">
      <c r="B12997"/>
    </row>
    <row r="12998" spans="1:2" x14ac:dyDescent="0.35">
      <c r="B12998"/>
    </row>
    <row r="12999" spans="1:2" ht="15.5" x14ac:dyDescent="0.35">
      <c r="A12999" s="49"/>
      <c r="B12999"/>
    </row>
    <row r="13000" spans="1:2" x14ac:dyDescent="0.35">
      <c r="B13000"/>
    </row>
    <row r="13001" spans="1:2" x14ac:dyDescent="0.35">
      <c r="B13001"/>
    </row>
    <row r="13002" spans="1:2" x14ac:dyDescent="0.35">
      <c r="B13002"/>
    </row>
    <row r="13003" spans="1:2" x14ac:dyDescent="0.35">
      <c r="B13003"/>
    </row>
    <row r="13015" spans="1:2" x14ac:dyDescent="0.35">
      <c r="B13015"/>
    </row>
    <row r="13016" spans="1:2" x14ac:dyDescent="0.35">
      <c r="B13016"/>
    </row>
    <row r="13017" spans="1:2" x14ac:dyDescent="0.35">
      <c r="B13017"/>
    </row>
    <row r="13018" spans="1:2" ht="15.5" x14ac:dyDescent="0.35">
      <c r="A13018" s="49"/>
      <c r="B13018" s="49"/>
    </row>
    <row r="13019" spans="1:2" x14ac:dyDescent="0.35">
      <c r="B13019"/>
    </row>
    <row r="13020" spans="1:2" x14ac:dyDescent="0.35">
      <c r="B13020"/>
    </row>
    <row r="13021" spans="1:2" x14ac:dyDescent="0.35">
      <c r="B13021"/>
    </row>
    <row r="13022" spans="1:2" x14ac:dyDescent="0.35">
      <c r="B13022"/>
    </row>
    <row r="13023" spans="1:2" x14ac:dyDescent="0.35">
      <c r="B13023"/>
    </row>
    <row r="13024" spans="1:2" x14ac:dyDescent="0.35">
      <c r="B13024"/>
    </row>
    <row r="13025" spans="1:2" x14ac:dyDescent="0.35">
      <c r="B13025"/>
    </row>
    <row r="13026" spans="1:2" x14ac:dyDescent="0.35">
      <c r="B13026"/>
    </row>
    <row r="13027" spans="1:2" x14ac:dyDescent="0.35">
      <c r="B13027"/>
    </row>
    <row r="13028" spans="1:2" ht="15.5" x14ac:dyDescent="0.35">
      <c r="A13028" s="49"/>
      <c r="B13028"/>
    </row>
    <row r="13029" spans="1:2" x14ac:dyDescent="0.35">
      <c r="B13029"/>
    </row>
    <row r="13030" spans="1:2" x14ac:dyDescent="0.35">
      <c r="B13030"/>
    </row>
    <row r="13031" spans="1:2" x14ac:dyDescent="0.35">
      <c r="B13031"/>
    </row>
    <row r="13032" spans="1:2" x14ac:dyDescent="0.35">
      <c r="B13032"/>
    </row>
    <row r="13044" spans="1:2" x14ac:dyDescent="0.35">
      <c r="B13044"/>
    </row>
    <row r="13045" spans="1:2" x14ac:dyDescent="0.35">
      <c r="B13045"/>
    </row>
    <row r="13046" spans="1:2" x14ac:dyDescent="0.35">
      <c r="B13046"/>
    </row>
    <row r="13047" spans="1:2" ht="15.5" x14ac:dyDescent="0.35">
      <c r="A13047" s="49"/>
      <c r="B13047" s="49"/>
    </row>
    <row r="13048" spans="1:2" x14ac:dyDescent="0.35">
      <c r="B13048"/>
    </row>
    <row r="13049" spans="1:2" x14ac:dyDescent="0.35">
      <c r="B13049"/>
    </row>
    <row r="13050" spans="1:2" x14ac:dyDescent="0.35">
      <c r="B13050"/>
    </row>
    <row r="13051" spans="1:2" x14ac:dyDescent="0.35">
      <c r="B13051"/>
    </row>
    <row r="13052" spans="1:2" x14ac:dyDescent="0.35">
      <c r="B13052"/>
    </row>
    <row r="13053" spans="1:2" x14ac:dyDescent="0.35">
      <c r="B13053"/>
    </row>
    <row r="13054" spans="1:2" x14ac:dyDescent="0.35">
      <c r="B13054"/>
    </row>
    <row r="13055" spans="1:2" x14ac:dyDescent="0.35">
      <c r="B13055"/>
    </row>
    <row r="13056" spans="1:2" x14ac:dyDescent="0.35">
      <c r="B13056"/>
    </row>
    <row r="13057" spans="1:2" ht="15.5" x14ac:dyDescent="0.35">
      <c r="A13057" s="49"/>
      <c r="B13057"/>
    </row>
    <row r="13058" spans="1:2" x14ac:dyDescent="0.35">
      <c r="B13058"/>
    </row>
    <row r="13059" spans="1:2" x14ac:dyDescent="0.35">
      <c r="B13059"/>
    </row>
    <row r="13060" spans="1:2" x14ac:dyDescent="0.35">
      <c r="B13060"/>
    </row>
    <row r="13061" spans="1:2" x14ac:dyDescent="0.35">
      <c r="B13061"/>
    </row>
    <row r="13073" spans="1:2" x14ac:dyDescent="0.35">
      <c r="B13073"/>
    </row>
    <row r="13074" spans="1:2" x14ac:dyDescent="0.35">
      <c r="B13074"/>
    </row>
    <row r="13075" spans="1:2" x14ac:dyDescent="0.35">
      <c r="B13075"/>
    </row>
    <row r="13076" spans="1:2" ht="15.5" x14ac:dyDescent="0.35">
      <c r="A13076" s="49"/>
      <c r="B13076" s="49"/>
    </row>
    <row r="13077" spans="1:2" x14ac:dyDescent="0.35">
      <c r="B13077"/>
    </row>
    <row r="13078" spans="1:2" x14ac:dyDescent="0.35">
      <c r="B13078"/>
    </row>
    <row r="13079" spans="1:2" x14ac:dyDescent="0.35">
      <c r="B13079"/>
    </row>
    <row r="13080" spans="1:2" x14ac:dyDescent="0.35">
      <c r="B13080"/>
    </row>
    <row r="13081" spans="1:2" x14ac:dyDescent="0.35">
      <c r="B13081"/>
    </row>
    <row r="13082" spans="1:2" x14ac:dyDescent="0.35">
      <c r="B13082"/>
    </row>
    <row r="13083" spans="1:2" x14ac:dyDescent="0.35">
      <c r="B13083"/>
    </row>
    <row r="13084" spans="1:2" x14ac:dyDescent="0.35">
      <c r="B13084"/>
    </row>
    <row r="13085" spans="1:2" x14ac:dyDescent="0.35">
      <c r="B13085"/>
    </row>
    <row r="13086" spans="1:2" ht="15.5" x14ac:dyDescent="0.35">
      <c r="A13086" s="49"/>
      <c r="B13086"/>
    </row>
    <row r="13087" spans="1:2" x14ac:dyDescent="0.35">
      <c r="B13087"/>
    </row>
    <row r="13088" spans="1:2" x14ac:dyDescent="0.35">
      <c r="B13088"/>
    </row>
    <row r="13089" spans="2:2" x14ac:dyDescent="0.35">
      <c r="B13089"/>
    </row>
    <row r="13090" spans="2:2" x14ac:dyDescent="0.35">
      <c r="B13090"/>
    </row>
    <row r="13102" spans="2:2" x14ac:dyDescent="0.35">
      <c r="B13102"/>
    </row>
    <row r="13103" spans="2:2" x14ac:dyDescent="0.35">
      <c r="B13103"/>
    </row>
    <row r="13104" spans="2:2" x14ac:dyDescent="0.35">
      <c r="B13104"/>
    </row>
    <row r="13105" spans="1:2" ht="15.5" x14ac:dyDescent="0.35">
      <c r="A13105" s="49"/>
      <c r="B13105" s="49"/>
    </row>
    <row r="13106" spans="1:2" x14ac:dyDescent="0.35">
      <c r="B13106"/>
    </row>
    <row r="13107" spans="1:2" x14ac:dyDescent="0.35">
      <c r="B13107"/>
    </row>
    <row r="13108" spans="1:2" x14ac:dyDescent="0.35">
      <c r="B13108"/>
    </row>
    <row r="13109" spans="1:2" x14ac:dyDescent="0.35">
      <c r="B13109"/>
    </row>
    <row r="13110" spans="1:2" x14ac:dyDescent="0.35">
      <c r="B13110"/>
    </row>
    <row r="13111" spans="1:2" x14ac:dyDescent="0.35">
      <c r="B13111"/>
    </row>
    <row r="13112" spans="1:2" x14ac:dyDescent="0.35">
      <c r="B13112"/>
    </row>
    <row r="13113" spans="1:2" x14ac:dyDescent="0.35">
      <c r="B13113"/>
    </row>
    <row r="13114" spans="1:2" x14ac:dyDescent="0.35">
      <c r="B13114"/>
    </row>
    <row r="13115" spans="1:2" ht="15.5" x14ac:dyDescent="0.35">
      <c r="A13115" s="49"/>
      <c r="B13115"/>
    </row>
    <row r="13116" spans="1:2" x14ac:dyDescent="0.35">
      <c r="B13116"/>
    </row>
    <row r="13117" spans="1:2" x14ac:dyDescent="0.35">
      <c r="B13117"/>
    </row>
    <row r="13118" spans="1:2" x14ac:dyDescent="0.35">
      <c r="B13118"/>
    </row>
    <row r="13119" spans="1:2" x14ac:dyDescent="0.35">
      <c r="B13119"/>
    </row>
    <row r="13131" spans="1:2" x14ac:dyDescent="0.35">
      <c r="B13131"/>
    </row>
    <row r="13132" spans="1:2" x14ac:dyDescent="0.35">
      <c r="B13132"/>
    </row>
    <row r="13133" spans="1:2" x14ac:dyDescent="0.35">
      <c r="B13133"/>
    </row>
    <row r="13134" spans="1:2" ht="15.5" x14ac:dyDescent="0.35">
      <c r="A13134" s="49"/>
      <c r="B13134" s="49"/>
    </row>
    <row r="13135" spans="1:2" x14ac:dyDescent="0.35">
      <c r="B13135"/>
    </row>
    <row r="13136" spans="1:2" x14ac:dyDescent="0.35">
      <c r="B13136"/>
    </row>
    <row r="13137" spans="1:2" x14ac:dyDescent="0.35">
      <c r="B13137"/>
    </row>
    <row r="13138" spans="1:2" x14ac:dyDescent="0.35">
      <c r="B13138"/>
    </row>
    <row r="13139" spans="1:2" x14ac:dyDescent="0.35">
      <c r="B13139"/>
    </row>
    <row r="13140" spans="1:2" x14ac:dyDescent="0.35">
      <c r="B13140"/>
    </row>
    <row r="13141" spans="1:2" x14ac:dyDescent="0.35">
      <c r="B13141"/>
    </row>
    <row r="13142" spans="1:2" x14ac:dyDescent="0.35">
      <c r="B13142"/>
    </row>
    <row r="13143" spans="1:2" x14ac:dyDescent="0.35">
      <c r="B13143"/>
    </row>
    <row r="13144" spans="1:2" ht="15.5" x14ac:dyDescent="0.35">
      <c r="A13144" s="49"/>
      <c r="B13144"/>
    </row>
    <row r="13145" spans="1:2" x14ac:dyDescent="0.35">
      <c r="B13145"/>
    </row>
    <row r="13146" spans="1:2" x14ac:dyDescent="0.35">
      <c r="B13146"/>
    </row>
    <row r="13147" spans="1:2" x14ac:dyDescent="0.35">
      <c r="B13147"/>
    </row>
    <row r="13148" spans="1:2" x14ac:dyDescent="0.35">
      <c r="B13148"/>
    </row>
    <row r="13160" spans="1:2" x14ac:dyDescent="0.35">
      <c r="B13160"/>
    </row>
    <row r="13161" spans="1:2" x14ac:dyDescent="0.35">
      <c r="B13161"/>
    </row>
    <row r="13162" spans="1:2" x14ac:dyDescent="0.35">
      <c r="B13162"/>
    </row>
    <row r="13163" spans="1:2" ht="15.5" x14ac:dyDescent="0.35">
      <c r="A13163" s="49"/>
      <c r="B13163" s="49"/>
    </row>
    <row r="13164" spans="1:2" x14ac:dyDescent="0.35">
      <c r="B13164"/>
    </row>
    <row r="13165" spans="1:2" x14ac:dyDescent="0.35">
      <c r="B13165"/>
    </row>
    <row r="13166" spans="1:2" x14ac:dyDescent="0.35">
      <c r="B13166"/>
    </row>
    <row r="13167" spans="1:2" x14ac:dyDescent="0.35">
      <c r="B13167"/>
    </row>
    <row r="13168" spans="1:2" x14ac:dyDescent="0.35">
      <c r="B13168"/>
    </row>
    <row r="13169" spans="1:2" x14ac:dyDescent="0.35">
      <c r="B13169"/>
    </row>
    <row r="13170" spans="1:2" x14ac:dyDescent="0.35">
      <c r="B13170"/>
    </row>
    <row r="13171" spans="1:2" x14ac:dyDescent="0.35">
      <c r="B13171"/>
    </row>
    <row r="13172" spans="1:2" x14ac:dyDescent="0.35">
      <c r="B13172"/>
    </row>
    <row r="13173" spans="1:2" ht="15.5" x14ac:dyDescent="0.35">
      <c r="A13173" s="49"/>
      <c r="B13173"/>
    </row>
    <row r="13174" spans="1:2" x14ac:dyDescent="0.35">
      <c r="B13174"/>
    </row>
    <row r="13175" spans="1:2" x14ac:dyDescent="0.35">
      <c r="B13175"/>
    </row>
    <row r="13176" spans="1:2" x14ac:dyDescent="0.35">
      <c r="B13176"/>
    </row>
    <row r="13177" spans="1:2" x14ac:dyDescent="0.35">
      <c r="B13177"/>
    </row>
    <row r="13189" spans="1:2" x14ac:dyDescent="0.35">
      <c r="B13189"/>
    </row>
    <row r="13190" spans="1:2" x14ac:dyDescent="0.35">
      <c r="B13190"/>
    </row>
    <row r="13191" spans="1:2" x14ac:dyDescent="0.35">
      <c r="B13191"/>
    </row>
    <row r="13192" spans="1:2" ht="15.5" x14ac:dyDescent="0.35">
      <c r="A13192" s="49"/>
      <c r="B13192" s="49"/>
    </row>
    <row r="13193" spans="1:2" x14ac:dyDescent="0.35">
      <c r="B13193"/>
    </row>
    <row r="13194" spans="1:2" x14ac:dyDescent="0.35">
      <c r="B13194"/>
    </row>
    <row r="13195" spans="1:2" x14ac:dyDescent="0.35">
      <c r="B13195"/>
    </row>
    <row r="13196" spans="1:2" x14ac:dyDescent="0.35">
      <c r="B13196"/>
    </row>
    <row r="13197" spans="1:2" x14ac:dyDescent="0.35">
      <c r="B13197"/>
    </row>
    <row r="13198" spans="1:2" x14ac:dyDescent="0.35">
      <c r="B13198"/>
    </row>
    <row r="13199" spans="1:2" x14ac:dyDescent="0.35">
      <c r="B13199"/>
    </row>
    <row r="13200" spans="1:2" x14ac:dyDescent="0.35">
      <c r="B13200"/>
    </row>
    <row r="13201" spans="1:2" x14ac:dyDescent="0.35">
      <c r="B13201"/>
    </row>
    <row r="13202" spans="1:2" ht="15.5" x14ac:dyDescent="0.35">
      <c r="A13202" s="49"/>
      <c r="B13202"/>
    </row>
    <row r="13203" spans="1:2" x14ac:dyDescent="0.35">
      <c r="B13203"/>
    </row>
    <row r="13204" spans="1:2" x14ac:dyDescent="0.35">
      <c r="B13204"/>
    </row>
    <row r="13205" spans="1:2" x14ac:dyDescent="0.35">
      <c r="B13205"/>
    </row>
    <row r="13206" spans="1:2" x14ac:dyDescent="0.35">
      <c r="B13206"/>
    </row>
    <row r="13218" spans="2:2" x14ac:dyDescent="0.35">
      <c r="B13218"/>
    </row>
    <row r="13219" spans="2:2" x14ac:dyDescent="0.35">
      <c r="B1321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01B61-F3BF-49EB-93E7-128FD5FE5EA8}">
  <dimension ref="A1:AT49"/>
  <sheetViews>
    <sheetView topLeftCell="Q16" zoomScale="80" zoomScaleNormal="80" workbookViewId="0">
      <selection activeCell="V30" sqref="V30"/>
    </sheetView>
  </sheetViews>
  <sheetFormatPr defaultRowHeight="19.5" customHeight="1" x14ac:dyDescent="0.35"/>
  <cols>
    <col min="1" max="1" width="9.7265625" style="5" customWidth="1"/>
    <col min="2" max="2" width="9.54296875" style="5" customWidth="1"/>
    <col min="3" max="3" width="10.36328125" style="6" bestFit="1" customWidth="1"/>
    <col min="4" max="4" width="10.36328125" style="6" customWidth="1"/>
    <col min="5" max="11" width="8.7265625" style="6"/>
    <col min="12" max="12" width="12.1796875" style="6" customWidth="1"/>
    <col min="13" max="16" width="8.7265625" style="6"/>
    <col min="17" max="17" width="10.08984375" style="6" bestFit="1" customWidth="1"/>
    <col min="18" max="18" width="10" style="6" bestFit="1" customWidth="1"/>
    <col min="19" max="21" width="8.7265625" style="6"/>
    <col min="22" max="23" width="10.36328125" style="6" bestFit="1" customWidth="1"/>
    <col min="24" max="24" width="11.08984375" style="6" bestFit="1" customWidth="1"/>
    <col min="25" max="31" width="10.36328125" style="6" bestFit="1" customWidth="1"/>
    <col min="32" max="32" width="10.36328125" style="6" customWidth="1"/>
    <col min="33" max="33" width="10.36328125" style="6" bestFit="1" customWidth="1"/>
    <col min="34" max="35" width="10.36328125" style="6" customWidth="1"/>
    <col min="36" max="36" width="10.81640625" style="6" customWidth="1"/>
    <col min="37" max="37" width="8.7265625" style="6"/>
    <col min="38" max="38" width="10.90625" style="6" customWidth="1"/>
    <col min="39" max="39" width="11.90625" style="6" customWidth="1"/>
    <col min="40" max="42" width="8.7265625" style="6"/>
    <col min="43" max="43" width="10" style="6" bestFit="1" customWidth="1"/>
    <col min="44" max="16384" width="8.7265625" style="6"/>
  </cols>
  <sheetData>
    <row r="1" spans="1:46" ht="19.5" customHeight="1" x14ac:dyDescent="0.35">
      <c r="A1" s="6" t="s">
        <v>137</v>
      </c>
    </row>
    <row r="2" spans="1:46" ht="19.5" customHeight="1" x14ac:dyDescent="0.35">
      <c r="B2" s="5" t="s">
        <v>112</v>
      </c>
      <c r="L2" s="6" t="s">
        <v>8</v>
      </c>
      <c r="V2" s="25" t="s">
        <v>9</v>
      </c>
      <c r="W2" s="25"/>
      <c r="X2" s="33"/>
      <c r="Y2" s="33"/>
      <c r="Z2" s="33"/>
      <c r="AA2" s="33"/>
      <c r="AB2" s="25" t="s">
        <v>78</v>
      </c>
      <c r="AC2" s="25" t="s">
        <v>79</v>
      </c>
      <c r="AD2" s="25" t="s">
        <v>80</v>
      </c>
      <c r="AE2" s="25" t="s">
        <v>81</v>
      </c>
      <c r="AF2" s="32" t="s">
        <v>238</v>
      </c>
      <c r="AG2" s="32" t="s">
        <v>82</v>
      </c>
      <c r="AH2" s="34"/>
      <c r="AI2" s="34"/>
      <c r="AJ2" s="34"/>
    </row>
    <row r="3" spans="1:46" ht="19.5" customHeight="1" x14ac:dyDescent="0.35">
      <c r="B3" s="24" t="s">
        <v>105</v>
      </c>
      <c r="C3" s="25" t="s">
        <v>106</v>
      </c>
      <c r="D3" s="25" t="s">
        <v>107</v>
      </c>
      <c r="E3" s="25" t="s">
        <v>108</v>
      </c>
      <c r="F3" s="25" t="s">
        <v>109</v>
      </c>
      <c r="G3" s="25" t="s">
        <v>110</v>
      </c>
      <c r="H3" s="25" t="s">
        <v>111</v>
      </c>
      <c r="I3" s="25" t="s">
        <v>13</v>
      </c>
      <c r="L3" s="24" t="s">
        <v>1</v>
      </c>
      <c r="M3" s="25" t="s">
        <v>2</v>
      </c>
      <c r="N3" s="25" t="s">
        <v>3</v>
      </c>
      <c r="O3" s="25" t="s">
        <v>4</v>
      </c>
      <c r="P3" s="25" t="s">
        <v>5</v>
      </c>
      <c r="Q3" s="25" t="s">
        <v>6</v>
      </c>
      <c r="R3" s="25" t="s">
        <v>7</v>
      </c>
      <c r="S3" s="25" t="s">
        <v>0</v>
      </c>
      <c r="V3" s="24" t="s">
        <v>1</v>
      </c>
      <c r="W3" s="25" t="s">
        <v>2</v>
      </c>
      <c r="X3" s="30" t="s">
        <v>3</v>
      </c>
      <c r="Y3" s="30" t="s">
        <v>4</v>
      </c>
      <c r="Z3" s="30" t="s">
        <v>5</v>
      </c>
      <c r="AA3" s="30" t="s">
        <v>6</v>
      </c>
      <c r="AB3" s="25" t="s">
        <v>241</v>
      </c>
      <c r="AC3" s="25" t="s">
        <v>240</v>
      </c>
      <c r="AD3" s="25" t="s">
        <v>0</v>
      </c>
      <c r="AE3" s="25" t="s">
        <v>242</v>
      </c>
      <c r="AF3" s="25" t="s">
        <v>239</v>
      </c>
      <c r="AG3" s="25" t="s">
        <v>7</v>
      </c>
      <c r="AH3" s="30" t="s">
        <v>164</v>
      </c>
      <c r="AI3" s="30" t="s">
        <v>163</v>
      </c>
      <c r="AJ3" s="30" t="s">
        <v>13</v>
      </c>
      <c r="AK3" s="6" t="s">
        <v>165</v>
      </c>
      <c r="AM3" s="5" t="s">
        <v>1</v>
      </c>
      <c r="AN3" s="6" t="s">
        <v>2</v>
      </c>
      <c r="AO3" s="6" t="s">
        <v>3</v>
      </c>
      <c r="AP3" s="6" t="s">
        <v>4</v>
      </c>
      <c r="AQ3" s="6" t="s">
        <v>5</v>
      </c>
      <c r="AR3" s="6" t="s">
        <v>6</v>
      </c>
      <c r="AS3" s="6" t="s">
        <v>7</v>
      </c>
      <c r="AT3" s="6" t="s">
        <v>0</v>
      </c>
    </row>
    <row r="4" spans="1:46" ht="19.5" customHeight="1" x14ac:dyDescent="0.35">
      <c r="A4" t="s">
        <v>30</v>
      </c>
      <c r="B4" s="26">
        <v>0</v>
      </c>
      <c r="C4" s="27">
        <v>0</v>
      </c>
      <c r="D4" s="27">
        <v>36</v>
      </c>
      <c r="E4" s="25">
        <v>21</v>
      </c>
      <c r="F4" s="25">
        <v>31</v>
      </c>
      <c r="G4" s="25">
        <v>9</v>
      </c>
      <c r="H4" s="25">
        <f t="shared" ref="H4:H9" si="0">100-(B4+C4+D4+E4+F4+G4)</f>
        <v>3</v>
      </c>
      <c r="I4" s="25">
        <f t="shared" ref="I4:I9" si="1">SUM(B4:H4)</f>
        <v>100</v>
      </c>
      <c r="K4" t="s">
        <v>30</v>
      </c>
      <c r="L4" s="25">
        <v>0</v>
      </c>
      <c r="M4" s="25">
        <v>0</v>
      </c>
      <c r="N4" s="25">
        <v>208</v>
      </c>
      <c r="O4" s="25">
        <v>74</v>
      </c>
      <c r="P4" s="25">
        <v>62</v>
      </c>
      <c r="Q4" s="25">
        <v>30.1</v>
      </c>
      <c r="R4" s="25"/>
      <c r="S4" s="25">
        <f t="shared" ref="S4:S9" si="2">SUM(L4:R4)</f>
        <v>374.1</v>
      </c>
      <c r="U4" t="s">
        <v>30</v>
      </c>
      <c r="V4" s="25">
        <v>0</v>
      </c>
      <c r="W4" s="25">
        <v>0</v>
      </c>
      <c r="X4" s="25">
        <v>254.5</v>
      </c>
      <c r="Y4" s="25">
        <v>149.30000000000001</v>
      </c>
      <c r="Z4" s="25">
        <v>223.5</v>
      </c>
      <c r="AA4" s="25">
        <f>79.8-17</f>
        <v>62.8</v>
      </c>
      <c r="AB4" s="25">
        <v>9.8000000000000007</v>
      </c>
      <c r="AC4" s="25">
        <v>27.5</v>
      </c>
      <c r="AD4" s="25">
        <v>8.6999999999999993</v>
      </c>
      <c r="AE4" s="25">
        <v>16</v>
      </c>
      <c r="AF4" s="25">
        <v>17</v>
      </c>
      <c r="AG4" s="25">
        <f>1.9+1.8+0.5</f>
        <v>4.2</v>
      </c>
      <c r="AH4" s="25">
        <v>56</v>
      </c>
      <c r="AI4" s="25">
        <v>43</v>
      </c>
      <c r="AJ4" s="25">
        <f t="shared" ref="AJ4:AJ9" si="3">SUM(V4:AG4)</f>
        <v>773.3</v>
      </c>
      <c r="AK4" s="6">
        <f>AJ4-AH4</f>
        <v>717.3</v>
      </c>
      <c r="AL4" s="6">
        <f>AK4/AJ4</f>
        <v>0.92758308547782231</v>
      </c>
      <c r="AM4" s="6">
        <f>L4*$AM$18*$AM$19*$AM$21</f>
        <v>0</v>
      </c>
      <c r="AN4" s="6">
        <f>M4*$AM$18*$AM$19*$AM$21*0.001</f>
        <v>0</v>
      </c>
      <c r="AO4" s="6">
        <f t="shared" ref="AO4:AO9" si="4">N4*$AM$18*$AM$19*$AM$23*0.001</f>
        <v>254.18016000000003</v>
      </c>
      <c r="AP4" s="6">
        <f t="shared" ref="AP4:AP9" si="5">O4*$AM$18*$AM$19*$AM$24*0.001</f>
        <v>149.09520000000001</v>
      </c>
      <c r="AQ4" s="6">
        <f t="shared" ref="AQ4:AQ9" si="6">P4*$AM$18*$AM$19*$AM$25*0.001</f>
        <v>223.76543999999998</v>
      </c>
      <c r="AR4" s="6">
        <f t="shared" ref="AR4:AR9" si="7">22*$AM$18*$AM$19*$AM$26*0.001</f>
        <v>79.015199999999993</v>
      </c>
      <c r="AT4" s="6">
        <f t="shared" ref="AT4:AT9" si="8">SUM(AM4:AS4)</f>
        <v>706.05600000000004</v>
      </c>
    </row>
    <row r="5" spans="1:46" ht="19.5" customHeight="1" x14ac:dyDescent="0.35">
      <c r="A5" t="s">
        <v>51</v>
      </c>
      <c r="B5" s="26">
        <v>0</v>
      </c>
      <c r="C5" s="27">
        <v>13</v>
      </c>
      <c r="D5" s="27">
        <v>36</v>
      </c>
      <c r="E5" s="25">
        <v>17</v>
      </c>
      <c r="F5" s="25">
        <v>23</v>
      </c>
      <c r="G5" s="25">
        <v>9</v>
      </c>
      <c r="H5" s="25">
        <f t="shared" si="0"/>
        <v>2</v>
      </c>
      <c r="I5" s="25">
        <f t="shared" si="1"/>
        <v>100</v>
      </c>
      <c r="K5" t="s">
        <v>51</v>
      </c>
      <c r="L5" s="25">
        <v>0</v>
      </c>
      <c r="M5" s="25">
        <v>15.5</v>
      </c>
      <c r="N5" s="25">
        <v>214</v>
      </c>
      <c r="O5" s="25">
        <v>59</v>
      </c>
      <c r="P5" s="25">
        <v>45</v>
      </c>
      <c r="Q5" s="25">
        <v>30.1</v>
      </c>
      <c r="R5" s="25"/>
      <c r="S5" s="25">
        <f t="shared" si="2"/>
        <v>363.6</v>
      </c>
      <c r="U5" t="s">
        <v>51</v>
      </c>
      <c r="V5" s="25">
        <v>0</v>
      </c>
      <c r="W5" s="25">
        <v>90.7</v>
      </c>
      <c r="X5" s="25">
        <v>254.9</v>
      </c>
      <c r="Y5" s="25">
        <v>118.7</v>
      </c>
      <c r="Z5" s="25">
        <v>162.4</v>
      </c>
      <c r="AA5" s="25">
        <f>79.5-16.7</f>
        <v>62.8</v>
      </c>
      <c r="AB5" s="25">
        <v>9.8000000000000007</v>
      </c>
      <c r="AC5" s="25">
        <v>21.7</v>
      </c>
      <c r="AD5" s="25">
        <v>2.9</v>
      </c>
      <c r="AE5" s="25">
        <v>10.5</v>
      </c>
      <c r="AF5" s="25">
        <v>16.7</v>
      </c>
      <c r="AG5" s="25">
        <f>1.9+1.8+0.5</f>
        <v>4.2</v>
      </c>
      <c r="AH5" s="25">
        <v>58</v>
      </c>
      <c r="AI5" s="25">
        <v>37</v>
      </c>
      <c r="AJ5" s="25">
        <f t="shared" si="3"/>
        <v>755.30000000000007</v>
      </c>
      <c r="AK5" s="6">
        <f t="shared" ref="AK5:AK9" si="9">AJ5-AH5</f>
        <v>697.30000000000007</v>
      </c>
      <c r="AL5" s="6">
        <f t="shared" ref="AL5:AL9" si="10">AK5/AJ5</f>
        <v>0.92320932079968221</v>
      </c>
      <c r="AM5" s="6">
        <f>L5*$AM$18*$AM$19*$AM$21</f>
        <v>0</v>
      </c>
      <c r="AN5" s="6">
        <f>M5*$AM$18*$AM$19*$AM$21*0.001</f>
        <v>95.046000000000006</v>
      </c>
      <c r="AO5" s="6">
        <f t="shared" si="4"/>
        <v>261.51228000000003</v>
      </c>
      <c r="AP5" s="6">
        <f t="shared" si="5"/>
        <v>118.87320000000001</v>
      </c>
      <c r="AQ5" s="6">
        <f t="shared" si="6"/>
        <v>162.41040000000001</v>
      </c>
      <c r="AR5" s="6">
        <f t="shared" si="7"/>
        <v>79.015199999999993</v>
      </c>
      <c r="AT5" s="6">
        <f t="shared" si="8"/>
        <v>716.85708</v>
      </c>
    </row>
    <row r="6" spans="1:46" ht="19.5" customHeight="1" x14ac:dyDescent="0.35">
      <c r="A6" t="s">
        <v>52</v>
      </c>
      <c r="B6" s="26">
        <v>0</v>
      </c>
      <c r="C6" s="27">
        <v>13</v>
      </c>
      <c r="D6" s="27">
        <v>22</v>
      </c>
      <c r="E6" s="25">
        <v>21</v>
      </c>
      <c r="F6" s="27">
        <v>32</v>
      </c>
      <c r="G6" s="25">
        <v>9</v>
      </c>
      <c r="H6" s="25">
        <f t="shared" si="0"/>
        <v>3</v>
      </c>
      <c r="I6" s="25">
        <f t="shared" si="1"/>
        <v>100</v>
      </c>
      <c r="K6" t="s">
        <v>52</v>
      </c>
      <c r="L6" s="25">
        <v>0</v>
      </c>
      <c r="M6" s="25">
        <v>15.5</v>
      </c>
      <c r="N6" s="25">
        <v>125</v>
      </c>
      <c r="O6" s="25">
        <v>72</v>
      </c>
      <c r="P6" s="25">
        <v>60</v>
      </c>
      <c r="Q6" s="25">
        <v>30.1</v>
      </c>
      <c r="R6" s="25"/>
      <c r="S6" s="25">
        <f t="shared" si="2"/>
        <v>302.60000000000002</v>
      </c>
      <c r="U6" t="s">
        <v>52</v>
      </c>
      <c r="V6" s="25">
        <v>0</v>
      </c>
      <c r="W6" s="25">
        <v>91.1</v>
      </c>
      <c r="X6" s="25">
        <v>153</v>
      </c>
      <c r="Y6" s="25">
        <v>145.30000000000001</v>
      </c>
      <c r="Z6" s="25">
        <v>215.3</v>
      </c>
      <c r="AA6" s="25">
        <f>78.2-15.5</f>
        <v>62.7</v>
      </c>
      <c r="AB6" s="25">
        <v>9.8000000000000007</v>
      </c>
      <c r="AC6" s="25">
        <v>11.8</v>
      </c>
      <c r="AD6" s="25">
        <v>8.6999999999999993</v>
      </c>
      <c r="AE6" s="25">
        <v>8.9</v>
      </c>
      <c r="AF6" s="25">
        <v>15.5</v>
      </c>
      <c r="AG6" s="25">
        <f>1.9+1.8+0.5</f>
        <v>4.2</v>
      </c>
      <c r="AH6" s="25">
        <v>48</v>
      </c>
      <c r="AI6" s="25">
        <v>31</v>
      </c>
      <c r="AJ6" s="25">
        <f t="shared" si="3"/>
        <v>726.30000000000007</v>
      </c>
      <c r="AK6" s="6">
        <f t="shared" si="9"/>
        <v>678.30000000000007</v>
      </c>
      <c r="AL6" s="6">
        <f t="shared" si="10"/>
        <v>0.93391160677406027</v>
      </c>
      <c r="AM6" s="6">
        <f>L6*$AM$18*$AM$19*$AM$21</f>
        <v>0</v>
      </c>
      <c r="AN6" s="6">
        <f>M6*$AM$18*$AM$19*$AM$21*0.001</f>
        <v>95.046000000000006</v>
      </c>
      <c r="AO6" s="6">
        <f t="shared" si="4"/>
        <v>152.7525</v>
      </c>
      <c r="AP6" s="6">
        <f t="shared" si="5"/>
        <v>145.06560000000002</v>
      </c>
      <c r="AQ6" s="6">
        <f t="shared" si="6"/>
        <v>216.54719999999998</v>
      </c>
      <c r="AR6" s="6">
        <f t="shared" si="7"/>
        <v>79.015199999999993</v>
      </c>
      <c r="AT6" s="6">
        <f t="shared" si="8"/>
        <v>688.42650000000003</v>
      </c>
    </row>
    <row r="7" spans="1:46" ht="19.5" customHeight="1" x14ac:dyDescent="0.35">
      <c r="A7" t="s">
        <v>56</v>
      </c>
      <c r="B7" s="26">
        <v>12</v>
      </c>
      <c r="C7" s="27">
        <v>14</v>
      </c>
      <c r="D7" s="27">
        <v>22</v>
      </c>
      <c r="E7" s="25">
        <v>17</v>
      </c>
      <c r="F7" s="27">
        <v>24</v>
      </c>
      <c r="G7" s="25">
        <v>9</v>
      </c>
      <c r="H7" s="25">
        <f t="shared" si="0"/>
        <v>2</v>
      </c>
      <c r="I7" s="25">
        <f t="shared" si="1"/>
        <v>100</v>
      </c>
      <c r="K7" t="s">
        <v>56</v>
      </c>
      <c r="L7" s="25">
        <v>13.2</v>
      </c>
      <c r="M7" s="25">
        <v>15.5</v>
      </c>
      <c r="N7" s="25">
        <v>118</v>
      </c>
      <c r="O7" s="25">
        <v>58</v>
      </c>
      <c r="P7" s="25">
        <v>45</v>
      </c>
      <c r="Q7" s="25">
        <v>30.1</v>
      </c>
      <c r="R7" s="25"/>
      <c r="S7" s="25">
        <f t="shared" si="2"/>
        <v>279.8</v>
      </c>
      <c r="U7" t="s">
        <v>56</v>
      </c>
      <c r="V7" s="25">
        <v>89.6</v>
      </c>
      <c r="W7" s="25">
        <v>92.4</v>
      </c>
      <c r="X7" s="25">
        <v>144.4</v>
      </c>
      <c r="Y7" s="25">
        <v>117.3</v>
      </c>
      <c r="Z7" s="25">
        <v>160.19999999999999</v>
      </c>
      <c r="AA7" s="25">
        <f>77.9-15.1</f>
        <v>62.800000000000004</v>
      </c>
      <c r="AB7" s="25">
        <v>9.8000000000000007</v>
      </c>
      <c r="AC7" s="25">
        <v>7.7</v>
      </c>
      <c r="AD7" s="25">
        <v>0</v>
      </c>
      <c r="AE7" s="25">
        <v>5.7</v>
      </c>
      <c r="AF7" s="25">
        <v>15.1</v>
      </c>
      <c r="AG7" s="25">
        <f>1.9+1.8+0.5</f>
        <v>4.2</v>
      </c>
      <c r="AH7" s="25">
        <v>50</v>
      </c>
      <c r="AI7" s="25">
        <v>32</v>
      </c>
      <c r="AJ7" s="25">
        <f t="shared" si="3"/>
        <v>709.2</v>
      </c>
      <c r="AK7" s="6">
        <f t="shared" si="9"/>
        <v>659.2</v>
      </c>
      <c r="AL7" s="6">
        <f t="shared" si="10"/>
        <v>0.92949802594472641</v>
      </c>
      <c r="AM7" s="6">
        <f>L7*$AM$18*$AM$19*$AM$22*0.001</f>
        <v>90.192960000000014</v>
      </c>
      <c r="AN7" s="6">
        <f>M7*$AM$18*$AM$19*$AM$21*0.001</f>
        <v>95.046000000000006</v>
      </c>
      <c r="AO7" s="6">
        <f t="shared" si="4"/>
        <v>144.19836000000001</v>
      </c>
      <c r="AP7" s="6">
        <f t="shared" si="5"/>
        <v>116.85840000000002</v>
      </c>
      <c r="AQ7" s="6">
        <f t="shared" si="6"/>
        <v>162.41040000000001</v>
      </c>
      <c r="AR7" s="6">
        <f t="shared" si="7"/>
        <v>79.015199999999993</v>
      </c>
      <c r="AT7" s="6">
        <f t="shared" si="8"/>
        <v>687.72132000000011</v>
      </c>
    </row>
    <row r="8" spans="1:46" ht="19.5" customHeight="1" x14ac:dyDescent="0.35">
      <c r="A8" t="s">
        <v>57</v>
      </c>
      <c r="B8" s="26">
        <v>14</v>
      </c>
      <c r="C8" s="27">
        <v>22</v>
      </c>
      <c r="D8" s="27">
        <v>17</v>
      </c>
      <c r="E8" s="25">
        <v>16</v>
      </c>
      <c r="F8" s="27">
        <v>20</v>
      </c>
      <c r="G8" s="25">
        <v>9</v>
      </c>
      <c r="H8" s="25">
        <f t="shared" si="0"/>
        <v>2</v>
      </c>
      <c r="I8" s="25">
        <f t="shared" si="1"/>
        <v>100</v>
      </c>
      <c r="K8" t="s">
        <v>57</v>
      </c>
      <c r="L8" s="25">
        <v>23.2</v>
      </c>
      <c r="M8" s="25">
        <v>15.5</v>
      </c>
      <c r="N8" s="25">
        <v>90</v>
      </c>
      <c r="O8" s="25">
        <v>51.5</v>
      </c>
      <c r="P8" s="25">
        <v>36.1</v>
      </c>
      <c r="Q8" s="25">
        <v>30.1</v>
      </c>
      <c r="R8" s="25"/>
      <c r="S8" s="25">
        <f t="shared" si="2"/>
        <v>246.39999999999998</v>
      </c>
      <c r="U8" t="s">
        <v>57</v>
      </c>
      <c r="V8" s="25">
        <v>159.30000000000001</v>
      </c>
      <c r="W8" s="25">
        <v>93.1</v>
      </c>
      <c r="X8" s="25">
        <v>110.1</v>
      </c>
      <c r="Y8" s="25">
        <v>103.8</v>
      </c>
      <c r="Z8" s="25">
        <v>129.1</v>
      </c>
      <c r="AA8" s="25">
        <f>76.9-14.2</f>
        <v>62.7</v>
      </c>
      <c r="AB8" s="25">
        <v>9.8000000000000007</v>
      </c>
      <c r="AC8" s="25">
        <v>0.2</v>
      </c>
      <c r="AD8" s="25">
        <v>0</v>
      </c>
      <c r="AE8" s="25">
        <v>1.9</v>
      </c>
      <c r="AF8" s="25">
        <v>14.2</v>
      </c>
      <c r="AG8" s="25">
        <f>1.8+0.1+1.8+0.4</f>
        <v>4.1000000000000005</v>
      </c>
      <c r="AH8" s="25">
        <v>42</v>
      </c>
      <c r="AI8" s="25">
        <v>24</v>
      </c>
      <c r="AJ8" s="25">
        <f t="shared" si="3"/>
        <v>688.30000000000007</v>
      </c>
      <c r="AK8" s="6">
        <f t="shared" si="9"/>
        <v>646.30000000000007</v>
      </c>
      <c r="AL8" s="6">
        <f t="shared" si="10"/>
        <v>0.9389800958884208</v>
      </c>
      <c r="AM8" s="6">
        <f>L8*$AM$18*$AM$19*$AM$22*0.001</f>
        <v>158.52096</v>
      </c>
      <c r="AN8" s="6">
        <f>M8*$AM$18*$AM$19*$AM$21*0.001</f>
        <v>95.046000000000006</v>
      </c>
      <c r="AO8" s="6">
        <f t="shared" si="4"/>
        <v>109.98180000000001</v>
      </c>
      <c r="AP8" s="6">
        <f t="shared" si="5"/>
        <v>103.76220000000001</v>
      </c>
      <c r="AQ8" s="6">
        <f t="shared" si="6"/>
        <v>130.289232</v>
      </c>
      <c r="AR8" s="6">
        <f t="shared" si="7"/>
        <v>79.015199999999993</v>
      </c>
      <c r="AT8" s="6">
        <f t="shared" si="8"/>
        <v>676.61539199999993</v>
      </c>
    </row>
    <row r="9" spans="1:46" ht="19.5" customHeight="1" x14ac:dyDescent="0.35">
      <c r="A9" t="s">
        <v>58</v>
      </c>
      <c r="B9" s="26">
        <v>23</v>
      </c>
      <c r="C9" s="27">
        <v>27</v>
      </c>
      <c r="D9" s="27">
        <v>13</v>
      </c>
      <c r="E9" s="25">
        <v>12</v>
      </c>
      <c r="F9" s="27">
        <v>12</v>
      </c>
      <c r="G9" s="25">
        <v>10</v>
      </c>
      <c r="H9" s="25">
        <f t="shared" si="0"/>
        <v>3</v>
      </c>
      <c r="I9" s="25">
        <f t="shared" si="1"/>
        <v>100</v>
      </c>
      <c r="K9" t="s">
        <v>58</v>
      </c>
      <c r="L9" s="25">
        <f>23.2+4.1</f>
        <v>27.299999999999997</v>
      </c>
      <c r="M9" s="25">
        <v>24.4</v>
      </c>
      <c r="N9" s="25">
        <v>70</v>
      </c>
      <c r="O9" s="25">
        <v>43</v>
      </c>
      <c r="P9" s="25">
        <v>22</v>
      </c>
      <c r="Q9" s="25">
        <v>30.1</v>
      </c>
      <c r="R9" s="25"/>
      <c r="S9" s="25">
        <f t="shared" si="2"/>
        <v>216.79999999999998</v>
      </c>
      <c r="U9" t="s">
        <v>58</v>
      </c>
      <c r="V9" s="25">
        <f>162.3+27</f>
        <v>189.3</v>
      </c>
      <c r="W9" s="25">
        <v>149.19999999999999</v>
      </c>
      <c r="X9" s="25">
        <v>85.7</v>
      </c>
      <c r="Y9" s="25">
        <v>86.7</v>
      </c>
      <c r="Z9" s="25">
        <v>77.900000000000006</v>
      </c>
      <c r="AA9" s="25">
        <f>75.2-12.5</f>
        <v>62.7</v>
      </c>
      <c r="AB9" s="25">
        <v>9.8000000000000007</v>
      </c>
      <c r="AC9" s="25">
        <v>0</v>
      </c>
      <c r="AD9" s="25">
        <v>0</v>
      </c>
      <c r="AE9" s="25">
        <v>0</v>
      </c>
      <c r="AF9" s="25">
        <v>12.5</v>
      </c>
      <c r="AG9" s="25">
        <f>1.8+1.8</f>
        <v>3.6</v>
      </c>
      <c r="AH9" s="25">
        <v>38</v>
      </c>
      <c r="AI9" s="25">
        <v>23</v>
      </c>
      <c r="AJ9" s="25">
        <f t="shared" si="3"/>
        <v>677.4</v>
      </c>
      <c r="AK9" s="6">
        <f t="shared" si="9"/>
        <v>639.4</v>
      </c>
      <c r="AL9" s="6">
        <f t="shared" si="10"/>
        <v>0.94390315913788014</v>
      </c>
      <c r="AM9" s="6">
        <f>23.2*$AM$18*$AM$19*$AM$22*0.001+4.1*$AM$18*$AM$19*AN22*0.001</f>
        <v>189.22914</v>
      </c>
      <c r="AN9" s="6">
        <f>L9*$AM$18*$AM$19*$AM$21*0.001</f>
        <v>167.40359999999995</v>
      </c>
      <c r="AO9" s="6">
        <f t="shared" si="4"/>
        <v>85.54140000000001</v>
      </c>
      <c r="AP9" s="6">
        <f t="shared" si="5"/>
        <v>86.636400000000009</v>
      </c>
      <c r="AQ9" s="6">
        <f t="shared" si="6"/>
        <v>79.400639999999996</v>
      </c>
      <c r="AR9" s="6">
        <f t="shared" si="7"/>
        <v>79.015199999999993</v>
      </c>
      <c r="AT9" s="6">
        <f t="shared" si="8"/>
        <v>687.22637999999984</v>
      </c>
    </row>
    <row r="10" spans="1:46" ht="19.5" customHeight="1" x14ac:dyDescent="0.35">
      <c r="A10" s="1"/>
      <c r="B10" s="1"/>
      <c r="C10" s="3"/>
      <c r="D10" s="3"/>
      <c r="F10" s="2"/>
      <c r="V10" s="6" t="s">
        <v>232</v>
      </c>
    </row>
    <row r="11" spans="1:46" ht="19.5" customHeight="1" x14ac:dyDescent="0.35">
      <c r="A11" s="1"/>
      <c r="B11" s="1"/>
      <c r="C11" s="3"/>
      <c r="D11" s="3"/>
      <c r="F11" s="2"/>
      <c r="V11" s="25">
        <f>V4*$AL$4</f>
        <v>0</v>
      </c>
      <c r="W11" s="25">
        <f t="shared" ref="W11:AG11" si="11">W4*$AL$4</f>
        <v>0</v>
      </c>
      <c r="X11" s="25">
        <f t="shared" si="11"/>
        <v>236.06989525410577</v>
      </c>
      <c r="Y11" s="25">
        <f t="shared" si="11"/>
        <v>138.48815466183888</v>
      </c>
      <c r="Z11" s="25">
        <f t="shared" si="11"/>
        <v>207.31481960429329</v>
      </c>
      <c r="AA11" s="25">
        <f t="shared" si="11"/>
        <v>58.252217768007242</v>
      </c>
      <c r="AB11" s="25">
        <f t="shared" si="11"/>
        <v>9.0903142376826587</v>
      </c>
      <c r="AC11" s="25">
        <f t="shared" si="11"/>
        <v>25.508534850640114</v>
      </c>
      <c r="AD11" s="25">
        <f t="shared" si="11"/>
        <v>8.0699728436570535</v>
      </c>
      <c r="AE11" s="25">
        <f t="shared" si="11"/>
        <v>14.841329367645157</v>
      </c>
      <c r="AF11" s="25">
        <f t="shared" si="11"/>
        <v>15.768912453122979</v>
      </c>
      <c r="AG11" s="25">
        <f t="shared" si="11"/>
        <v>3.8958489590068539</v>
      </c>
      <c r="AH11" s="25"/>
      <c r="AI11" s="25">
        <v>43</v>
      </c>
      <c r="AJ11" s="6">
        <f t="shared" ref="AJ11:AJ16" si="12">SUM(V11:AI11)</f>
        <v>760.29999999999984</v>
      </c>
    </row>
    <row r="12" spans="1:46" ht="19.5" customHeight="1" x14ac:dyDescent="0.35">
      <c r="A12" s="1"/>
      <c r="B12" s="1"/>
      <c r="C12" s="3"/>
      <c r="D12" s="3"/>
      <c r="F12" s="2"/>
      <c r="V12" s="25">
        <f>V5*$AL$5</f>
        <v>0</v>
      </c>
      <c r="W12" s="25">
        <f t="shared" ref="W12:AG12" si="13">W5*$AL$5</f>
        <v>83.735085396531176</v>
      </c>
      <c r="X12" s="25">
        <f t="shared" si="13"/>
        <v>235.326055871839</v>
      </c>
      <c r="Y12" s="25">
        <f t="shared" si="13"/>
        <v>109.58494637892228</v>
      </c>
      <c r="Z12" s="25">
        <f t="shared" si="13"/>
        <v>149.92919369786839</v>
      </c>
      <c r="AA12" s="25">
        <f t="shared" si="13"/>
        <v>57.97754534622004</v>
      </c>
      <c r="AB12" s="25">
        <f t="shared" si="13"/>
        <v>9.0474513438368867</v>
      </c>
      <c r="AC12" s="25">
        <f t="shared" si="13"/>
        <v>20.033642261353105</v>
      </c>
      <c r="AD12" s="25">
        <f t="shared" si="13"/>
        <v>2.6773070303190782</v>
      </c>
      <c r="AE12" s="25">
        <f t="shared" si="13"/>
        <v>9.6936978683966633</v>
      </c>
      <c r="AF12" s="25">
        <f t="shared" si="13"/>
        <v>15.417595657354692</v>
      </c>
      <c r="AG12" s="25">
        <f t="shared" si="13"/>
        <v>3.8774791473586654</v>
      </c>
      <c r="AH12" s="25"/>
      <c r="AI12" s="25">
        <v>37</v>
      </c>
      <c r="AJ12" s="6">
        <f t="shared" si="12"/>
        <v>734.3</v>
      </c>
    </row>
    <row r="13" spans="1:46" ht="19.5" customHeight="1" x14ac:dyDescent="0.35">
      <c r="A13" s="1"/>
      <c r="B13" s="1"/>
      <c r="C13" s="3"/>
      <c r="D13" s="3"/>
      <c r="F13" s="2"/>
      <c r="V13" s="25">
        <f>V6*$AL$6</f>
        <v>0</v>
      </c>
      <c r="W13" s="25">
        <f t="shared" ref="W13:AG13" si="14">W6*$AL$6</f>
        <v>85.079347377116889</v>
      </c>
      <c r="X13" s="25">
        <f t="shared" si="14"/>
        <v>142.88847583643121</v>
      </c>
      <c r="Y13" s="25">
        <f t="shared" si="14"/>
        <v>135.69735646427097</v>
      </c>
      <c r="Z13" s="25">
        <f t="shared" si="14"/>
        <v>201.07116893845517</v>
      </c>
      <c r="AA13" s="25">
        <f t="shared" si="14"/>
        <v>58.556257744733578</v>
      </c>
      <c r="AB13" s="25">
        <f t="shared" si="14"/>
        <v>9.152333746385791</v>
      </c>
      <c r="AC13" s="25">
        <f t="shared" si="14"/>
        <v>11.020156959933912</v>
      </c>
      <c r="AD13" s="25">
        <f t="shared" si="14"/>
        <v>8.1250309789343245</v>
      </c>
      <c r="AE13" s="25">
        <f t="shared" si="14"/>
        <v>8.3118133002891366</v>
      </c>
      <c r="AF13" s="25">
        <f t="shared" si="14"/>
        <v>14.475629904997934</v>
      </c>
      <c r="AG13" s="25">
        <f t="shared" si="14"/>
        <v>3.9224287484510532</v>
      </c>
      <c r="AH13" s="25"/>
      <c r="AI13" s="25">
        <v>31</v>
      </c>
      <c r="AJ13" s="6">
        <f t="shared" si="12"/>
        <v>709.3</v>
      </c>
    </row>
    <row r="14" spans="1:46" ht="19.5" customHeight="1" x14ac:dyDescent="0.35">
      <c r="A14" s="1"/>
      <c r="B14" s="1"/>
      <c r="C14" s="3"/>
      <c r="D14" s="3"/>
      <c r="F14" s="2"/>
      <c r="V14" s="25">
        <f>V7*$AL$7</f>
        <v>83.283023124647485</v>
      </c>
      <c r="W14" s="25">
        <f t="shared" ref="W14:AG14" si="15">W7*$AL$7</f>
        <v>85.885617597292722</v>
      </c>
      <c r="X14" s="25">
        <f t="shared" si="15"/>
        <v>134.21951494641851</v>
      </c>
      <c r="Y14" s="25">
        <f t="shared" si="15"/>
        <v>109.03011844331641</v>
      </c>
      <c r="Z14" s="25">
        <f t="shared" si="15"/>
        <v>148.90558375634515</v>
      </c>
      <c r="AA14" s="25">
        <f t="shared" si="15"/>
        <v>58.372476029328823</v>
      </c>
      <c r="AB14" s="25">
        <f t="shared" si="15"/>
        <v>9.1090806542583191</v>
      </c>
      <c r="AC14" s="25">
        <f t="shared" si="15"/>
        <v>7.1571347997743935</v>
      </c>
      <c r="AD14" s="25">
        <f t="shared" si="15"/>
        <v>0</v>
      </c>
      <c r="AE14" s="25">
        <f t="shared" si="15"/>
        <v>5.2981387478849404</v>
      </c>
      <c r="AF14" s="25">
        <f t="shared" si="15"/>
        <v>14.035420191765368</v>
      </c>
      <c r="AG14" s="25">
        <f t="shared" si="15"/>
        <v>3.9038917089678513</v>
      </c>
      <c r="AH14" s="25"/>
      <c r="AI14" s="25">
        <v>32</v>
      </c>
      <c r="AJ14" s="6">
        <f t="shared" si="12"/>
        <v>691.2</v>
      </c>
    </row>
    <row r="15" spans="1:46" ht="19.5" customHeight="1" x14ac:dyDescent="0.35">
      <c r="A15" s="1"/>
      <c r="B15" s="1"/>
      <c r="C15" s="3"/>
      <c r="D15" s="3"/>
      <c r="F15" s="2"/>
      <c r="V15" s="25">
        <f>V8*$AL$8</f>
        <v>149.57952927502544</v>
      </c>
      <c r="W15" s="25">
        <f t="shared" ref="W15:AG15" si="16">W8*$AL$8</f>
        <v>87.419046927211966</v>
      </c>
      <c r="X15" s="25">
        <f t="shared" si="16"/>
        <v>103.38170855731512</v>
      </c>
      <c r="Y15" s="25">
        <f t="shared" si="16"/>
        <v>97.466133953218076</v>
      </c>
      <c r="Z15" s="25">
        <f t="shared" si="16"/>
        <v>121.22233037919511</v>
      </c>
      <c r="AA15" s="25">
        <f t="shared" si="16"/>
        <v>58.87405201220399</v>
      </c>
      <c r="AB15" s="25">
        <f t="shared" si="16"/>
        <v>9.2020049397065247</v>
      </c>
      <c r="AC15" s="25">
        <f t="shared" si="16"/>
        <v>0.18779601917768418</v>
      </c>
      <c r="AD15" s="25">
        <f t="shared" si="16"/>
        <v>0</v>
      </c>
      <c r="AE15" s="25">
        <f t="shared" si="16"/>
        <v>1.7840621821879994</v>
      </c>
      <c r="AF15" s="25">
        <f t="shared" si="16"/>
        <v>13.333517361615575</v>
      </c>
      <c r="AG15" s="25">
        <f t="shared" si="16"/>
        <v>3.8498183931425256</v>
      </c>
      <c r="AH15" s="25"/>
      <c r="AI15" s="25">
        <v>24</v>
      </c>
      <c r="AJ15" s="6">
        <f t="shared" si="12"/>
        <v>670.3</v>
      </c>
    </row>
    <row r="16" spans="1:46" ht="19.5" customHeight="1" x14ac:dyDescent="0.35">
      <c r="A16" s="1"/>
      <c r="B16" s="1"/>
      <c r="C16" s="3"/>
      <c r="D16" s="3"/>
      <c r="F16" s="2"/>
      <c r="V16" s="25">
        <f>V9*$AL$9</f>
        <v>178.68086802480073</v>
      </c>
      <c r="W16" s="25">
        <f t="shared" ref="W16:AG16" si="17">W9*$AL$9</f>
        <v>140.83035134337172</v>
      </c>
      <c r="X16" s="25">
        <f t="shared" si="17"/>
        <v>80.892500738116325</v>
      </c>
      <c r="Y16" s="25">
        <f t="shared" si="17"/>
        <v>81.836403897254215</v>
      </c>
      <c r="Z16" s="25">
        <f t="shared" si="17"/>
        <v>73.530056096840866</v>
      </c>
      <c r="AA16" s="25">
        <f t="shared" si="17"/>
        <v>59.182728077945086</v>
      </c>
      <c r="AB16" s="25">
        <f t="shared" si="17"/>
        <v>9.2502509595512254</v>
      </c>
      <c r="AC16" s="25">
        <f t="shared" si="17"/>
        <v>0</v>
      </c>
      <c r="AD16" s="25">
        <f t="shared" si="17"/>
        <v>0</v>
      </c>
      <c r="AE16" s="25">
        <f t="shared" si="17"/>
        <v>0</v>
      </c>
      <c r="AF16" s="25">
        <f t="shared" si="17"/>
        <v>11.798789489223502</v>
      </c>
      <c r="AG16" s="25">
        <f t="shared" si="17"/>
        <v>3.3980513728963686</v>
      </c>
      <c r="AH16" s="25"/>
      <c r="AI16" s="25">
        <v>23</v>
      </c>
      <c r="AJ16" s="6">
        <f t="shared" si="12"/>
        <v>662.4</v>
      </c>
    </row>
    <row r="17" spans="1:45" ht="19.5" customHeight="1" x14ac:dyDescent="0.35">
      <c r="A17" s="1"/>
      <c r="B17" s="1"/>
      <c r="C17" s="3"/>
      <c r="D17" s="3"/>
      <c r="F17" s="2"/>
    </row>
    <row r="18" spans="1:45" ht="19.5" customHeight="1" x14ac:dyDescent="0.35">
      <c r="A18" s="1"/>
      <c r="B18" s="1"/>
      <c r="C18" s="2"/>
      <c r="D18" s="2"/>
      <c r="F18" s="2"/>
      <c r="U18" t="s">
        <v>30</v>
      </c>
      <c r="V18" s="25">
        <f t="shared" ref="V18" si="18">V11*100/$AJ$11</f>
        <v>0</v>
      </c>
      <c r="W18" s="25">
        <f t="shared" ref="W18:AI18" si="19">W11*100/$AJ$11</f>
        <v>0</v>
      </c>
      <c r="X18" s="25">
        <f t="shared" si="19"/>
        <v>31.049571912943023</v>
      </c>
      <c r="Y18" s="25">
        <f t="shared" si="19"/>
        <v>18.214935507278561</v>
      </c>
      <c r="Z18" s="25">
        <f t="shared" si="19"/>
        <v>27.267502249676884</v>
      </c>
      <c r="AA18" s="25">
        <f t="shared" si="19"/>
        <v>7.6617411242939957</v>
      </c>
      <c r="AB18" s="25">
        <f t="shared" si="19"/>
        <v>1.1956220225809102</v>
      </c>
      <c r="AC18" s="25">
        <f t="shared" si="19"/>
        <v>3.3550617980586765</v>
      </c>
      <c r="AD18" s="25">
        <f t="shared" si="19"/>
        <v>1.0614195506585631</v>
      </c>
      <c r="AE18" s="25">
        <f t="shared" si="19"/>
        <v>1.9520359552341393</v>
      </c>
      <c r="AF18" s="25">
        <f t="shared" si="19"/>
        <v>2.0740382024362729</v>
      </c>
      <c r="AG18" s="25">
        <f t="shared" si="19"/>
        <v>0.51240943824896157</v>
      </c>
      <c r="AH18" s="25">
        <f t="shared" si="19"/>
        <v>0</v>
      </c>
      <c r="AI18" s="25">
        <f t="shared" si="19"/>
        <v>5.6556622385900317</v>
      </c>
      <c r="AJ18" s="6">
        <f t="shared" ref="AJ18:AJ23" si="20">SUM(V18:AI18)</f>
        <v>100.00000000000001</v>
      </c>
      <c r="AL18" s="6" t="s">
        <v>10</v>
      </c>
      <c r="AM18" s="6">
        <v>365</v>
      </c>
    </row>
    <row r="19" spans="1:45" ht="19.5" customHeight="1" x14ac:dyDescent="0.35">
      <c r="A19" s="1"/>
      <c r="B19" s="1"/>
      <c r="C19" s="2"/>
      <c r="D19" s="2"/>
      <c r="F19" s="2"/>
      <c r="K19" s="28" t="s">
        <v>140</v>
      </c>
      <c r="L19" s="25">
        <v>0</v>
      </c>
      <c r="M19" s="25"/>
      <c r="N19" s="25">
        <f>132+90</f>
        <v>222</v>
      </c>
      <c r="O19" s="25">
        <v>83</v>
      </c>
      <c r="P19" s="25">
        <f>26+39</f>
        <v>65</v>
      </c>
      <c r="Q19" s="25">
        <v>4</v>
      </c>
      <c r="U19" t="s">
        <v>51</v>
      </c>
      <c r="V19" s="25">
        <f t="shared" ref="V19" si="21">V12*100/$AJ$12</f>
        <v>0</v>
      </c>
      <c r="W19" s="25">
        <f t="shared" ref="W19:AI19" si="22">W12*100/$AJ$12</f>
        <v>11.40338899585063</v>
      </c>
      <c r="X19" s="25">
        <f t="shared" si="22"/>
        <v>32.047672051183305</v>
      </c>
      <c r="Y19" s="25">
        <f t="shared" si="22"/>
        <v>14.923729589939029</v>
      </c>
      <c r="Z19" s="25">
        <f t="shared" si="22"/>
        <v>20.417975445712703</v>
      </c>
      <c r="AA19" s="25">
        <f t="shared" si="22"/>
        <v>7.8956210467411196</v>
      </c>
      <c r="AB19" s="25">
        <f t="shared" si="22"/>
        <v>1.2321192079309393</v>
      </c>
      <c r="AC19" s="25">
        <f t="shared" si="22"/>
        <v>2.7282639604185084</v>
      </c>
      <c r="AD19" s="25">
        <f t="shared" si="22"/>
        <v>0.36460670438772685</v>
      </c>
      <c r="AE19" s="25">
        <f t="shared" si="22"/>
        <v>1.3201277227831492</v>
      </c>
      <c r="AF19" s="25">
        <f t="shared" si="22"/>
        <v>2.0996317114741512</v>
      </c>
      <c r="AG19" s="25">
        <f t="shared" si="22"/>
        <v>0.5280510891132596</v>
      </c>
      <c r="AH19" s="25">
        <f t="shared" si="22"/>
        <v>0</v>
      </c>
      <c r="AI19" s="25">
        <f t="shared" si="22"/>
        <v>5.0388124744654776</v>
      </c>
      <c r="AJ19" s="6">
        <f t="shared" si="20"/>
        <v>99.999999999999986</v>
      </c>
      <c r="AL19" s="6" t="s">
        <v>11</v>
      </c>
      <c r="AM19" s="6">
        <v>24</v>
      </c>
    </row>
    <row r="20" spans="1:45" ht="19.5" customHeight="1" x14ac:dyDescent="0.35">
      <c r="A20" s="1"/>
      <c r="B20" s="1"/>
      <c r="C20" s="2"/>
      <c r="D20" s="2"/>
      <c r="F20" s="2"/>
      <c r="K20" s="29"/>
      <c r="L20" s="25">
        <v>0</v>
      </c>
      <c r="M20" s="25"/>
      <c r="N20" s="25">
        <f>114+114</f>
        <v>228</v>
      </c>
      <c r="O20" s="25">
        <v>68</v>
      </c>
      <c r="P20" s="25">
        <f>19+28</f>
        <v>47</v>
      </c>
      <c r="Q20" s="25">
        <v>4</v>
      </c>
      <c r="U20" t="s">
        <v>52</v>
      </c>
      <c r="V20" s="25">
        <f t="shared" ref="V20" si="23">V13*100/$AJ$13</f>
        <v>0</v>
      </c>
      <c r="W20" s="25">
        <f t="shared" ref="W20:AI20" si="24">W13*100/$AJ$13</f>
        <v>11.994832564093739</v>
      </c>
      <c r="X20" s="25">
        <f t="shared" si="24"/>
        <v>20.144998708082788</v>
      </c>
      <c r="Y20" s="25">
        <f t="shared" si="24"/>
        <v>19.131165439767514</v>
      </c>
      <c r="Z20" s="25">
        <f t="shared" si="24"/>
        <v>28.347831515360944</v>
      </c>
      <c r="AA20" s="25">
        <f t="shared" si="24"/>
        <v>8.2554994705672602</v>
      </c>
      <c r="AB20" s="25">
        <f t="shared" si="24"/>
        <v>1.2903332505830807</v>
      </c>
      <c r="AC20" s="25">
        <f t="shared" si="24"/>
        <v>1.5536665670286074</v>
      </c>
      <c r="AD20" s="25">
        <f t="shared" si="24"/>
        <v>1.145499926538041</v>
      </c>
      <c r="AE20" s="25">
        <f t="shared" si="24"/>
        <v>1.1718332581825937</v>
      </c>
      <c r="AF20" s="25">
        <f t="shared" si="24"/>
        <v>2.0408332024528315</v>
      </c>
      <c r="AG20" s="25">
        <f t="shared" si="24"/>
        <v>0.55299996453560596</v>
      </c>
      <c r="AH20" s="25">
        <f t="shared" si="24"/>
        <v>0</v>
      </c>
      <c r="AI20" s="25">
        <f t="shared" si="24"/>
        <v>4.3705061328069927</v>
      </c>
      <c r="AJ20" s="6">
        <f t="shared" si="20"/>
        <v>99.999999999999986</v>
      </c>
      <c r="AL20" s="6" t="s">
        <v>114</v>
      </c>
      <c r="AM20" s="6">
        <v>2050</v>
      </c>
      <c r="AP20" s="6">
        <v>2021</v>
      </c>
      <c r="AR20" s="6" t="s">
        <v>141</v>
      </c>
    </row>
    <row r="21" spans="1:45" ht="19.5" customHeight="1" x14ac:dyDescent="0.35">
      <c r="A21" s="1"/>
      <c r="B21" s="1"/>
      <c r="C21" s="2"/>
      <c r="D21" s="2"/>
      <c r="F21" s="2"/>
      <c r="K21" s="29"/>
      <c r="L21" s="25">
        <v>0</v>
      </c>
      <c r="M21" s="25"/>
      <c r="N21" s="25">
        <f>89+49</f>
        <v>138</v>
      </c>
      <c r="O21" s="25">
        <v>81</v>
      </c>
      <c r="P21" s="25">
        <f>25+38</f>
        <v>63</v>
      </c>
      <c r="Q21" s="25">
        <v>4</v>
      </c>
      <c r="U21" t="s">
        <v>56</v>
      </c>
      <c r="V21" s="25">
        <f t="shared" ref="V21" si="25">V14*100/$AJ$14</f>
        <v>12.049048484468674</v>
      </c>
      <c r="W21" s="25">
        <f t="shared" ref="W21:AI21" si="26">W14*100/$AJ$14</f>
        <v>12.425581249608323</v>
      </c>
      <c r="X21" s="25">
        <f t="shared" si="26"/>
        <v>19.418332602201751</v>
      </c>
      <c r="Y21" s="25">
        <f t="shared" si="26"/>
        <v>15.774033339600173</v>
      </c>
      <c r="Z21" s="25">
        <f t="shared" si="26"/>
        <v>21.543053205489748</v>
      </c>
      <c r="AA21" s="25">
        <f t="shared" si="26"/>
        <v>8.4450920181320637</v>
      </c>
      <c r="AB21" s="25">
        <f t="shared" si="26"/>
        <v>1.3178646779887613</v>
      </c>
      <c r="AC21" s="25">
        <f t="shared" si="26"/>
        <v>1.0354651041340268</v>
      </c>
      <c r="AD21" s="25">
        <f t="shared" si="26"/>
        <v>0</v>
      </c>
      <c r="AE21" s="25">
        <f t="shared" si="26"/>
        <v>0.76651312903427948</v>
      </c>
      <c r="AF21" s="25">
        <f t="shared" si="26"/>
        <v>2.0305874120030913</v>
      </c>
      <c r="AG21" s="25">
        <f t="shared" si="26"/>
        <v>0.56479914770946915</v>
      </c>
      <c r="AH21" s="25">
        <f t="shared" si="26"/>
        <v>0</v>
      </c>
      <c r="AI21" s="25">
        <f t="shared" si="26"/>
        <v>4.6296296296296298</v>
      </c>
      <c r="AJ21" s="6">
        <f t="shared" si="20"/>
        <v>99.999999999999986</v>
      </c>
      <c r="AL21" s="25" t="s">
        <v>2</v>
      </c>
      <c r="AM21" s="25">
        <v>0.7</v>
      </c>
      <c r="AO21" s="6" t="s">
        <v>115</v>
      </c>
      <c r="AP21" s="25">
        <v>0.7</v>
      </c>
      <c r="AR21" s="25">
        <v>208</v>
      </c>
      <c r="AS21" s="6">
        <f t="shared" ref="AS21:AS26" si="27">X4/(AR21*$AM$18*$AM$19*0.001)</f>
        <v>0.13967553565156304</v>
      </c>
    </row>
    <row r="22" spans="1:45" ht="19.5" customHeight="1" x14ac:dyDescent="0.35">
      <c r="A22" s="1"/>
      <c r="B22" s="1"/>
      <c r="C22" s="2"/>
      <c r="D22" s="2"/>
      <c r="F22" s="2"/>
      <c r="K22" s="29"/>
      <c r="L22" s="25">
        <v>13</v>
      </c>
      <c r="M22" s="25"/>
      <c r="N22" s="25">
        <f>86+46</f>
        <v>132</v>
      </c>
      <c r="O22" s="25">
        <v>67</v>
      </c>
      <c r="P22" s="25">
        <f>19+28</f>
        <v>47</v>
      </c>
      <c r="Q22" s="25">
        <v>4</v>
      </c>
      <c r="U22" t="s">
        <v>57</v>
      </c>
      <c r="V22" s="25">
        <f t="shared" ref="V22" si="28">V15*100/$AJ$15</f>
        <v>22.315310946594874</v>
      </c>
      <c r="W22" s="25">
        <f t="shared" ref="W22:AI22" si="29">W15*100/$AJ$15</f>
        <v>13.041779341669695</v>
      </c>
      <c r="X22" s="25">
        <f t="shared" si="29"/>
        <v>15.423199844445044</v>
      </c>
      <c r="Y22" s="25">
        <f t="shared" si="29"/>
        <v>14.540673422828297</v>
      </c>
      <c r="Z22" s="25">
        <f t="shared" si="29"/>
        <v>18.084787465193962</v>
      </c>
      <c r="AA22" s="25">
        <f t="shared" si="29"/>
        <v>8.7832391484714307</v>
      </c>
      <c r="AB22" s="25">
        <f t="shared" si="29"/>
        <v>1.3728188780704946</v>
      </c>
      <c r="AC22" s="25">
        <f t="shared" si="29"/>
        <v>2.8016711797357031E-2</v>
      </c>
      <c r="AD22" s="25">
        <f t="shared" si="29"/>
        <v>0</v>
      </c>
      <c r="AE22" s="25">
        <f t="shared" si="29"/>
        <v>0.26615876207489181</v>
      </c>
      <c r="AF22" s="25">
        <f t="shared" si="29"/>
        <v>1.989186537612349</v>
      </c>
      <c r="AG22" s="25">
        <f t="shared" si="29"/>
        <v>0.57434259184581915</v>
      </c>
      <c r="AH22" s="25">
        <f t="shared" si="29"/>
        <v>0</v>
      </c>
      <c r="AI22" s="25">
        <f t="shared" si="29"/>
        <v>3.5804863493957932</v>
      </c>
      <c r="AJ22" s="6">
        <f t="shared" si="20"/>
        <v>100.00000000000004</v>
      </c>
      <c r="AL22" s="25" t="s">
        <v>1</v>
      </c>
      <c r="AM22" s="25">
        <v>0.78</v>
      </c>
      <c r="AN22" s="25">
        <v>0.85499999999999998</v>
      </c>
      <c r="AR22" s="25">
        <v>214</v>
      </c>
      <c r="AS22" s="6">
        <f t="shared" si="27"/>
        <v>0.13597277343916697</v>
      </c>
    </row>
    <row r="23" spans="1:45" ht="19.5" customHeight="1" x14ac:dyDescent="0.35">
      <c r="A23" s="1"/>
      <c r="B23" s="1"/>
      <c r="C23" s="2"/>
      <c r="D23" s="2"/>
      <c r="F23" s="2"/>
      <c r="K23" s="29"/>
      <c r="L23" s="25">
        <v>23</v>
      </c>
      <c r="M23" s="25"/>
      <c r="N23" s="25">
        <f>61+43</f>
        <v>104</v>
      </c>
      <c r="O23" s="25">
        <v>61</v>
      </c>
      <c r="P23" s="25">
        <f>16+23</f>
        <v>39</v>
      </c>
      <c r="Q23" s="25">
        <v>4</v>
      </c>
      <c r="U23" t="s">
        <v>58</v>
      </c>
      <c r="V23" s="25">
        <f t="shared" ref="V23" si="30">V16*100/$AJ$16</f>
        <v>26.974768723550834</v>
      </c>
      <c r="W23" s="25">
        <f t="shared" ref="W23:AI23" si="31">W16*100/$AJ$16</f>
        <v>21.260620673818195</v>
      </c>
      <c r="X23" s="25">
        <f t="shared" si="31"/>
        <v>12.212032116261522</v>
      </c>
      <c r="Y23" s="25">
        <f t="shared" si="31"/>
        <v>12.354529573860841</v>
      </c>
      <c r="Z23" s="25">
        <f t="shared" si="31"/>
        <v>11.100551946986846</v>
      </c>
      <c r="AA23" s="25">
        <f t="shared" si="31"/>
        <v>8.9345905914772175</v>
      </c>
      <c r="AB23" s="25">
        <f t="shared" si="31"/>
        <v>1.3964750844733131</v>
      </c>
      <c r="AC23" s="25">
        <f t="shared" si="31"/>
        <v>0</v>
      </c>
      <c r="AD23" s="25">
        <f t="shared" si="31"/>
        <v>0</v>
      </c>
      <c r="AE23" s="25">
        <f t="shared" si="31"/>
        <v>0</v>
      </c>
      <c r="AF23" s="25">
        <f t="shared" si="31"/>
        <v>1.7812182199914708</v>
      </c>
      <c r="AG23" s="25">
        <f t="shared" si="31"/>
        <v>0.51299084735754352</v>
      </c>
      <c r="AH23" s="25">
        <f t="shared" si="31"/>
        <v>0</v>
      </c>
      <c r="AI23" s="25">
        <f t="shared" si="31"/>
        <v>3.4722222222222223</v>
      </c>
      <c r="AJ23" s="6">
        <f t="shared" si="20"/>
        <v>100.00000000000001</v>
      </c>
      <c r="AL23" s="25" t="s">
        <v>3</v>
      </c>
      <c r="AM23" s="25">
        <v>0.13950000000000001</v>
      </c>
      <c r="AO23" s="6" t="s">
        <v>116</v>
      </c>
      <c r="AP23" s="25">
        <v>0.17</v>
      </c>
      <c r="AR23" s="25">
        <v>125</v>
      </c>
      <c r="AS23" s="6">
        <f t="shared" si="27"/>
        <v>0.13972602739726028</v>
      </c>
    </row>
    <row r="24" spans="1:45" ht="19.5" customHeight="1" x14ac:dyDescent="0.35">
      <c r="A24" s="1"/>
      <c r="B24" s="1"/>
      <c r="C24" s="2"/>
      <c r="D24" s="2"/>
      <c r="F24" s="2"/>
      <c r="K24" s="30"/>
      <c r="L24" s="25">
        <v>23</v>
      </c>
      <c r="M24" s="25"/>
      <c r="N24" s="25">
        <f>49+35</f>
        <v>84</v>
      </c>
      <c r="O24" s="25">
        <v>52</v>
      </c>
      <c r="P24" s="25">
        <f>11+14</f>
        <v>25</v>
      </c>
      <c r="Q24" s="25">
        <v>4</v>
      </c>
      <c r="AL24" s="25" t="s">
        <v>4</v>
      </c>
      <c r="AM24" s="25">
        <v>0.23</v>
      </c>
      <c r="AO24" s="6" t="s">
        <v>117</v>
      </c>
      <c r="AP24" s="25">
        <v>0.25</v>
      </c>
      <c r="AR24" s="25">
        <v>118</v>
      </c>
      <c r="AS24" s="6">
        <f t="shared" si="27"/>
        <v>0.1396950700410185</v>
      </c>
    </row>
    <row r="25" spans="1:45" ht="19.5" customHeight="1" x14ac:dyDescent="0.35">
      <c r="A25" s="1"/>
      <c r="B25" s="1"/>
      <c r="C25" s="2"/>
      <c r="D25" s="2"/>
      <c r="F25" s="2"/>
      <c r="K25" s="25" t="s">
        <v>40</v>
      </c>
      <c r="L25" s="25"/>
      <c r="M25" s="25"/>
      <c r="N25" s="25">
        <v>14.6</v>
      </c>
      <c r="O25" s="25">
        <v>20.8</v>
      </c>
      <c r="P25" s="25"/>
      <c r="Q25" s="25">
        <v>25.5</v>
      </c>
      <c r="V25" s="6" t="s">
        <v>14</v>
      </c>
      <c r="AL25" s="25" t="s">
        <v>5</v>
      </c>
      <c r="AM25" s="25">
        <v>0.41199999999999998</v>
      </c>
      <c r="AR25" s="25">
        <v>90</v>
      </c>
      <c r="AS25" s="6">
        <f t="shared" si="27"/>
        <v>0.13964992389649925</v>
      </c>
    </row>
    <row r="26" spans="1:45" ht="19.5" customHeight="1" x14ac:dyDescent="0.35">
      <c r="A26" s="1"/>
      <c r="B26" s="1"/>
      <c r="C26" s="2"/>
      <c r="D26" s="2"/>
      <c r="F26" s="2"/>
      <c r="N26" s="6">
        <f>N19-N25</f>
        <v>207.4</v>
      </c>
      <c r="O26" s="6">
        <f>O19-O25</f>
        <v>62.2</v>
      </c>
      <c r="P26" s="6">
        <v>65</v>
      </c>
      <c r="V26" s="24" t="s">
        <v>1</v>
      </c>
      <c r="W26" s="25" t="s">
        <v>2</v>
      </c>
      <c r="X26" s="30" t="s">
        <v>3</v>
      </c>
      <c r="Y26" s="30" t="s">
        <v>4</v>
      </c>
      <c r="Z26" s="30" t="s">
        <v>5</v>
      </c>
      <c r="AA26" s="30" t="s">
        <v>6</v>
      </c>
      <c r="AB26" s="25" t="s">
        <v>241</v>
      </c>
      <c r="AC26" s="25" t="s">
        <v>240</v>
      </c>
      <c r="AD26" s="25" t="s">
        <v>0</v>
      </c>
      <c r="AE26" s="25" t="s">
        <v>242</v>
      </c>
      <c r="AF26" s="25" t="s">
        <v>239</v>
      </c>
      <c r="AG26" s="25" t="s">
        <v>7</v>
      </c>
      <c r="AH26" s="30" t="s">
        <v>164</v>
      </c>
      <c r="AI26" s="30" t="s">
        <v>163</v>
      </c>
      <c r="AJ26" s="30" t="s">
        <v>104</v>
      </c>
      <c r="AL26" s="25" t="s">
        <v>6</v>
      </c>
      <c r="AM26" s="25">
        <v>0.41</v>
      </c>
      <c r="AR26" s="25">
        <v>70</v>
      </c>
      <c r="AS26" s="6">
        <f t="shared" si="27"/>
        <v>0.13975864318330072</v>
      </c>
    </row>
    <row r="27" spans="1:45" ht="19.5" customHeight="1" x14ac:dyDescent="0.35">
      <c r="A27" s="1"/>
      <c r="B27" s="1"/>
      <c r="C27" s="2"/>
      <c r="D27" s="2"/>
      <c r="F27" s="2"/>
      <c r="U27" t="s">
        <v>30</v>
      </c>
      <c r="V27" s="25">
        <f>V11/$AJ$11</f>
        <v>0</v>
      </c>
      <c r="W27" s="25">
        <f t="shared" ref="W27:AI27" si="32">W11/$AJ$11</f>
        <v>0</v>
      </c>
      <c r="X27" s="25">
        <f t="shared" si="32"/>
        <v>0.31049571912943025</v>
      </c>
      <c r="Y27" s="25">
        <f t="shared" si="32"/>
        <v>0.18214935507278562</v>
      </c>
      <c r="Z27" s="25">
        <f t="shared" si="32"/>
        <v>0.27267502249676884</v>
      </c>
      <c r="AA27" s="25">
        <f t="shared" si="32"/>
        <v>7.6617411242939956E-2</v>
      </c>
      <c r="AB27" s="25">
        <f t="shared" si="32"/>
        <v>1.1956220225809102E-2</v>
      </c>
      <c r="AC27" s="37">
        <f t="shared" si="32"/>
        <v>3.3550617980586769E-2</v>
      </c>
      <c r="AD27" s="37">
        <f t="shared" si="32"/>
        <v>1.0614195506585631E-2</v>
      </c>
      <c r="AE27" s="37">
        <f t="shared" si="32"/>
        <v>1.9520359552341392E-2</v>
      </c>
      <c r="AF27" s="37">
        <f t="shared" si="32"/>
        <v>2.0740382024362729E-2</v>
      </c>
      <c r="AG27" s="37">
        <f t="shared" si="32"/>
        <v>5.1240943824896155E-3</v>
      </c>
      <c r="AH27" s="25">
        <f t="shared" si="32"/>
        <v>0</v>
      </c>
      <c r="AI27" s="25">
        <f t="shared" si="32"/>
        <v>5.6556622385900313E-2</v>
      </c>
      <c r="AJ27" s="25">
        <f>SUM(AC27:AG27)</f>
        <v>8.9549649446366147E-2</v>
      </c>
      <c r="AK27" s="6">
        <f t="shared" ref="AK27:AK32" si="33">SUM(V27:AB27)+AI27+AJ27</f>
        <v>1.0000000000000002</v>
      </c>
      <c r="AS27" s="6">
        <f>AVERAGE(AS21:AS26)</f>
        <v>0.13907966226813476</v>
      </c>
    </row>
    <row r="28" spans="1:45" ht="19.5" customHeight="1" x14ac:dyDescent="0.35">
      <c r="A28" s="1"/>
      <c r="B28" s="1"/>
      <c r="C28" s="2"/>
      <c r="D28" s="2"/>
      <c r="F28" s="2"/>
      <c r="O28" s="6" t="s">
        <v>160</v>
      </c>
      <c r="Q28" s="6" t="s">
        <v>161</v>
      </c>
      <c r="U28" t="s">
        <v>51</v>
      </c>
      <c r="V28" s="25">
        <f>V12/$AJ$12</f>
        <v>0</v>
      </c>
      <c r="W28" s="25">
        <f t="shared" ref="W28:AI28" si="34">W12/$AJ$12</f>
        <v>0.1140338899585063</v>
      </c>
      <c r="X28" s="25">
        <f t="shared" si="34"/>
        <v>0.32047672051183307</v>
      </c>
      <c r="Y28" s="25">
        <f t="shared" si="34"/>
        <v>0.14923729589939028</v>
      </c>
      <c r="Z28" s="25">
        <f t="shared" si="34"/>
        <v>0.20417975445712705</v>
      </c>
      <c r="AA28" s="25">
        <f t="shared" si="34"/>
        <v>7.8956210467411206E-2</v>
      </c>
      <c r="AB28" s="25">
        <f t="shared" si="34"/>
        <v>1.2321192079309392E-2</v>
      </c>
      <c r="AC28" s="37">
        <f t="shared" si="34"/>
        <v>2.7282639604185081E-2</v>
      </c>
      <c r="AD28" s="37">
        <f t="shared" si="34"/>
        <v>3.6460670438772688E-3</v>
      </c>
      <c r="AE28" s="37">
        <f t="shared" si="34"/>
        <v>1.3201277227831491E-2</v>
      </c>
      <c r="AF28" s="37">
        <f t="shared" si="34"/>
        <v>2.0996317114741512E-2</v>
      </c>
      <c r="AG28" s="37">
        <f t="shared" si="34"/>
        <v>5.2805108911325969E-3</v>
      </c>
      <c r="AH28" s="25">
        <f t="shared" si="34"/>
        <v>0</v>
      </c>
      <c r="AI28" s="25">
        <f t="shared" si="34"/>
        <v>5.0388124744654775E-2</v>
      </c>
      <c r="AJ28" s="25">
        <f t="shared" ref="AJ28:AJ32" si="35">SUM(AC28:AG28)</f>
        <v>7.040681188176795E-2</v>
      </c>
      <c r="AK28" s="6">
        <f t="shared" si="33"/>
        <v>1</v>
      </c>
      <c r="AL28" s="31">
        <v>5.65463552361011E-9</v>
      </c>
      <c r="AM28" s="31">
        <f>AL28*AO35</f>
        <v>8.1217118321093951E-9</v>
      </c>
      <c r="AN28" s="25" t="s">
        <v>99</v>
      </c>
      <c r="AO28" s="25" t="s">
        <v>101</v>
      </c>
    </row>
    <row r="29" spans="1:45" ht="19.5" customHeight="1" x14ac:dyDescent="0.35">
      <c r="A29" s="1"/>
      <c r="B29" s="1"/>
      <c r="C29" s="2"/>
      <c r="D29" s="2"/>
      <c r="F29" s="2"/>
      <c r="L29" s="6" t="s">
        <v>158</v>
      </c>
      <c r="M29" s="6">
        <v>1.00670440632908</v>
      </c>
      <c r="N29" s="6">
        <v>0.99895194484980099</v>
      </c>
      <c r="O29" s="6">
        <f>M29*N29</f>
        <v>1.0056493245912987</v>
      </c>
      <c r="Q29" s="23">
        <v>5.4E-8</v>
      </c>
      <c r="U29" t="s">
        <v>52</v>
      </c>
      <c r="V29" s="25">
        <f>V13/$AJ$13</f>
        <v>0</v>
      </c>
      <c r="W29" s="25">
        <f t="shared" ref="W29:AI29" si="36">W13/$AJ$13</f>
        <v>0.11994832564093739</v>
      </c>
      <c r="X29" s="25">
        <f t="shared" si="36"/>
        <v>0.2014499870808279</v>
      </c>
      <c r="Y29" s="25">
        <f t="shared" si="36"/>
        <v>0.19131165439767514</v>
      </c>
      <c r="Z29" s="25">
        <f t="shared" si="36"/>
        <v>0.28347831515360944</v>
      </c>
      <c r="AA29" s="25">
        <f t="shared" si="36"/>
        <v>8.255499470567261E-2</v>
      </c>
      <c r="AB29" s="25">
        <f t="shared" si="36"/>
        <v>1.2903332505830808E-2</v>
      </c>
      <c r="AC29" s="37">
        <f t="shared" si="36"/>
        <v>1.5536665670286075E-2</v>
      </c>
      <c r="AD29" s="37">
        <f t="shared" si="36"/>
        <v>1.1454999265380411E-2</v>
      </c>
      <c r="AE29" s="37">
        <f t="shared" si="36"/>
        <v>1.1718332581825938E-2</v>
      </c>
      <c r="AF29" s="37">
        <f t="shared" si="36"/>
        <v>2.0408332024528318E-2</v>
      </c>
      <c r="AG29" s="37">
        <f t="shared" si="36"/>
        <v>5.5299996453560601E-3</v>
      </c>
      <c r="AH29" s="25">
        <f t="shared" si="36"/>
        <v>0</v>
      </c>
      <c r="AI29" s="25">
        <f t="shared" si="36"/>
        <v>4.3705061328069929E-2</v>
      </c>
      <c r="AJ29" s="25">
        <f t="shared" si="35"/>
        <v>6.4648329187376799E-2</v>
      </c>
      <c r="AK29" s="6">
        <f t="shared" si="33"/>
        <v>1</v>
      </c>
      <c r="AL29" s="31">
        <v>3.8616897390338299E-10</v>
      </c>
      <c r="AM29" s="31">
        <f t="shared" ref="AM29:AM32" si="37">AL29*AO36</f>
        <v>5.4174113296661441E-10</v>
      </c>
      <c r="AN29" s="25" t="s">
        <v>99</v>
      </c>
      <c r="AO29" s="25" t="s">
        <v>102</v>
      </c>
    </row>
    <row r="30" spans="1:45" ht="19.5" customHeight="1" x14ac:dyDescent="0.35">
      <c r="A30" s="1"/>
      <c r="B30" s="1"/>
      <c r="C30" s="2"/>
      <c r="D30" s="2"/>
      <c r="F30" s="2"/>
      <c r="L30" s="6">
        <v>4.2098906369769902E-3</v>
      </c>
      <c r="O30" s="6">
        <f>O29*L30</f>
        <v>4.2336736756791423E-3</v>
      </c>
      <c r="U30" t="s">
        <v>56</v>
      </c>
      <c r="V30" s="25">
        <f>V14/$AJ$14</f>
        <v>0.12049048484468675</v>
      </c>
      <c r="W30" s="25">
        <f t="shared" ref="W30:AI30" si="38">W14/$AJ$14</f>
        <v>0.12425581249608321</v>
      </c>
      <c r="X30" s="25">
        <f t="shared" si="38"/>
        <v>0.19418332602201752</v>
      </c>
      <c r="Y30" s="25">
        <f t="shared" si="38"/>
        <v>0.15774033339600174</v>
      </c>
      <c r="Z30" s="25">
        <f t="shared" si="38"/>
        <v>0.21543053205489748</v>
      </c>
      <c r="AA30" s="25">
        <f t="shared" si="38"/>
        <v>8.4450920181320624E-2</v>
      </c>
      <c r="AB30" s="25">
        <f t="shared" si="38"/>
        <v>1.3178646779887613E-2</v>
      </c>
      <c r="AC30" s="37">
        <f t="shared" si="38"/>
        <v>1.0354651041340267E-2</v>
      </c>
      <c r="AD30" s="37">
        <f t="shared" si="38"/>
        <v>0</v>
      </c>
      <c r="AE30" s="37">
        <f t="shared" si="38"/>
        <v>7.6651312903427953E-3</v>
      </c>
      <c r="AF30" s="37">
        <f t="shared" si="38"/>
        <v>2.0305874120030914E-2</v>
      </c>
      <c r="AG30" s="37">
        <f t="shared" si="38"/>
        <v>5.6479914770946917E-3</v>
      </c>
      <c r="AH30" s="25">
        <f t="shared" si="38"/>
        <v>0</v>
      </c>
      <c r="AI30" s="25">
        <f t="shared" si="38"/>
        <v>4.6296296296296294E-2</v>
      </c>
      <c r="AJ30" s="25">
        <f t="shared" si="35"/>
        <v>4.397364792880866E-2</v>
      </c>
      <c r="AK30" s="6">
        <f t="shared" si="33"/>
        <v>0.99999999999999978</v>
      </c>
      <c r="AL30" s="31">
        <v>3.4744697665053399E-12</v>
      </c>
      <c r="AM30" s="31">
        <f t="shared" si="37"/>
        <v>4.6870493896969323E-12</v>
      </c>
      <c r="AN30" s="25" t="s">
        <v>99</v>
      </c>
      <c r="AO30" s="25" t="s">
        <v>103</v>
      </c>
    </row>
    <row r="31" spans="1:45" ht="19.5" customHeight="1" x14ac:dyDescent="0.35">
      <c r="A31" s="1"/>
      <c r="B31" s="1"/>
      <c r="C31" s="2"/>
      <c r="D31" s="2"/>
      <c r="F31" s="2"/>
      <c r="O31" s="6">
        <f>O29+O30</f>
        <v>1.0098829982669779</v>
      </c>
      <c r="Q31" s="23"/>
      <c r="R31" s="23"/>
      <c r="U31" t="s">
        <v>57</v>
      </c>
      <c r="V31" s="25">
        <f>V15/$AJ$15</f>
        <v>0.22315310946594874</v>
      </c>
      <c r="W31" s="25">
        <f t="shared" ref="W31:AI31" si="39">W15/$AJ$15</f>
        <v>0.13041779341669696</v>
      </c>
      <c r="X31" s="25">
        <f t="shared" si="39"/>
        <v>0.15423199844445043</v>
      </c>
      <c r="Y31" s="25">
        <f t="shared" si="39"/>
        <v>0.14540673422828299</v>
      </c>
      <c r="Z31" s="25">
        <f t="shared" si="39"/>
        <v>0.18084787465193961</v>
      </c>
      <c r="AA31" s="25">
        <f t="shared" si="39"/>
        <v>8.7832391484714292E-2</v>
      </c>
      <c r="AB31" s="25">
        <f t="shared" si="39"/>
        <v>1.3728188780704946E-2</v>
      </c>
      <c r="AC31" s="37">
        <f t="shared" si="39"/>
        <v>2.8016711797357031E-4</v>
      </c>
      <c r="AD31" s="37">
        <f t="shared" si="39"/>
        <v>0</v>
      </c>
      <c r="AE31" s="37">
        <f t="shared" si="39"/>
        <v>2.6615876207489175E-3</v>
      </c>
      <c r="AF31" s="37">
        <f t="shared" si="39"/>
        <v>1.9891865376123492E-2</v>
      </c>
      <c r="AG31" s="37">
        <f t="shared" si="39"/>
        <v>5.7434259184581914E-3</v>
      </c>
      <c r="AH31" s="25">
        <f t="shared" si="39"/>
        <v>0</v>
      </c>
      <c r="AI31" s="25">
        <f t="shared" si="39"/>
        <v>3.5804863493957929E-2</v>
      </c>
      <c r="AJ31" s="25">
        <f t="shared" si="35"/>
        <v>2.857704603330417E-2</v>
      </c>
      <c r="AK31" s="6">
        <f t="shared" si="33"/>
        <v>1.0000000000000002</v>
      </c>
      <c r="AL31" s="31">
        <v>1.86277676887616E-8</v>
      </c>
      <c r="AM31" s="31">
        <f t="shared" si="37"/>
        <v>2.453717096001064E-8</v>
      </c>
      <c r="AN31" s="25" t="s">
        <v>99</v>
      </c>
      <c r="AO31" s="25" t="s">
        <v>128</v>
      </c>
    </row>
    <row r="32" spans="1:45" ht="19.5" customHeight="1" x14ac:dyDescent="0.35">
      <c r="A32" s="1"/>
      <c r="B32" s="1"/>
      <c r="C32" s="2"/>
      <c r="D32" s="2"/>
      <c r="F32" s="2"/>
      <c r="U32" t="s">
        <v>58</v>
      </c>
      <c r="V32" s="25">
        <f>V16/$AJ$16</f>
        <v>0.26974768723550835</v>
      </c>
      <c r="W32" s="25">
        <f t="shared" ref="W32:AI32" si="40">W16/$AJ$16</f>
        <v>0.21260620673818195</v>
      </c>
      <c r="X32" s="25">
        <f t="shared" si="40"/>
        <v>0.12212032116261523</v>
      </c>
      <c r="Y32" s="25">
        <f t="shared" si="40"/>
        <v>0.12354529573860842</v>
      </c>
      <c r="Z32" s="25">
        <f t="shared" si="40"/>
        <v>0.11100551946986846</v>
      </c>
      <c r="AA32" s="25">
        <f t="shared" si="40"/>
        <v>8.9345905914772178E-2</v>
      </c>
      <c r="AB32" s="25">
        <f t="shared" si="40"/>
        <v>1.396475084473313E-2</v>
      </c>
      <c r="AC32" s="37">
        <f t="shared" si="40"/>
        <v>0</v>
      </c>
      <c r="AD32" s="37">
        <f t="shared" si="40"/>
        <v>0</v>
      </c>
      <c r="AE32" s="37">
        <f t="shared" si="40"/>
        <v>0</v>
      </c>
      <c r="AF32" s="37">
        <f t="shared" si="40"/>
        <v>1.7812182199914709E-2</v>
      </c>
      <c r="AG32" s="37">
        <f t="shared" si="40"/>
        <v>5.1299084735754357E-3</v>
      </c>
      <c r="AH32" s="25">
        <f t="shared" si="40"/>
        <v>0</v>
      </c>
      <c r="AI32" s="25">
        <f t="shared" si="40"/>
        <v>3.4722222222222224E-2</v>
      </c>
      <c r="AJ32" s="25">
        <f t="shared" si="35"/>
        <v>2.2942090673490144E-2</v>
      </c>
      <c r="AK32" s="6">
        <f t="shared" si="33"/>
        <v>1.0000000000000002</v>
      </c>
      <c r="AL32" s="31">
        <v>8.7404880965322298E-8</v>
      </c>
      <c r="AM32" s="31">
        <f t="shared" si="37"/>
        <v>1.117399323336392E-7</v>
      </c>
      <c r="AN32" s="25" t="s">
        <v>99</v>
      </c>
      <c r="AO32" s="25" t="s">
        <v>129</v>
      </c>
    </row>
    <row r="33" spans="1:43" ht="19.5" customHeight="1" x14ac:dyDescent="0.35">
      <c r="A33" s="1"/>
      <c r="B33" s="1"/>
      <c r="C33" s="2"/>
      <c r="D33" s="2"/>
      <c r="F33" s="2"/>
      <c r="L33" s="6" t="s">
        <v>159</v>
      </c>
      <c r="M33" s="6">
        <v>1.03093659171436</v>
      </c>
      <c r="N33" s="6">
        <v>0.95900950044020505</v>
      </c>
      <c r="O33" s="6">
        <f>M33*N33</f>
        <v>0.98867798580551602</v>
      </c>
      <c r="Q33" s="23">
        <v>4.03E-10</v>
      </c>
    </row>
    <row r="34" spans="1:43" ht="19.5" customHeight="1" x14ac:dyDescent="0.35">
      <c r="A34" s="1"/>
      <c r="B34" s="1"/>
      <c r="C34" s="2"/>
      <c r="D34" s="2"/>
      <c r="F34" s="2"/>
      <c r="L34" s="6">
        <v>3.0698133930844199E-2</v>
      </c>
      <c r="O34" s="6">
        <f>O33*L34</f>
        <v>3.0350569222735012E-2</v>
      </c>
      <c r="Q34" s="23"/>
      <c r="V34" s="6" t="s">
        <v>113</v>
      </c>
      <c r="AM34" s="6" t="s">
        <v>181</v>
      </c>
      <c r="AN34" s="6">
        <v>538.4</v>
      </c>
    </row>
    <row r="35" spans="1:43" ht="19.5" customHeight="1" x14ac:dyDescent="0.35">
      <c r="A35" s="1"/>
      <c r="B35" s="1"/>
      <c r="C35" s="2"/>
      <c r="D35" s="2"/>
      <c r="F35" s="2"/>
      <c r="O35" s="6">
        <f>O33+O34</f>
        <v>1.019028555028251</v>
      </c>
      <c r="Q35" s="23"/>
      <c r="R35" s="23"/>
      <c r="X35" s="43">
        <f t="shared" ref="X35:AJ35" si="41">X36/X27</f>
        <v>0.9925532244712707</v>
      </c>
      <c r="Y35" s="43">
        <f t="shared" si="41"/>
        <v>0.99255322415673886</v>
      </c>
      <c r="Z35" s="43">
        <f t="shared" si="41"/>
        <v>0.99255322434243909</v>
      </c>
      <c r="AA35" s="43">
        <f t="shared" si="41"/>
        <v>0.99255322435998206</v>
      </c>
      <c r="AB35" s="43">
        <f t="shared" si="41"/>
        <v>1.0431936949273823</v>
      </c>
      <c r="AC35" s="44">
        <f t="shared" si="41"/>
        <v>1.0776453238176202</v>
      </c>
      <c r="AD35" s="44">
        <f t="shared" si="41"/>
        <v>0.99255322437319071</v>
      </c>
      <c r="AE35" s="44">
        <f t="shared" si="41"/>
        <v>1.0776453238176196</v>
      </c>
      <c r="AF35" s="44">
        <f t="shared" si="41"/>
        <v>1.0776453238176191</v>
      </c>
      <c r="AG35" s="44">
        <f t="shared" si="41"/>
        <v>0.91288617111412063</v>
      </c>
      <c r="AH35" s="43"/>
      <c r="AI35" s="43">
        <f t="shared" si="41"/>
        <v>1.0096823409738893</v>
      </c>
      <c r="AJ35" s="43">
        <f t="shared" si="41"/>
        <v>1.0581318400775483</v>
      </c>
      <c r="AM35" s="6" t="s">
        <v>180</v>
      </c>
      <c r="AN35" s="6">
        <f>AJ4</f>
        <v>773.3</v>
      </c>
      <c r="AO35" s="6">
        <f t="shared" ref="AO35:AO40" si="42">AN35/$AN$34</f>
        <v>1.4362927191679049</v>
      </c>
      <c r="AP35" s="6" t="s">
        <v>182</v>
      </c>
    </row>
    <row r="36" spans="1:43" ht="19.5" customHeight="1" x14ac:dyDescent="0.35">
      <c r="A36" s="1"/>
      <c r="B36" s="1"/>
      <c r="C36" s="2"/>
      <c r="D36" s="2"/>
      <c r="F36" s="2"/>
      <c r="U36" s="6" t="s">
        <v>30</v>
      </c>
      <c r="V36" s="6">
        <v>0</v>
      </c>
      <c r="W36" s="6">
        <v>0</v>
      </c>
      <c r="X36" s="25">
        <v>0.30818352720644199</v>
      </c>
      <c r="Y36" s="25">
        <v>0.18079292965556401</v>
      </c>
      <c r="Z36" s="25">
        <v>0.27064447277681503</v>
      </c>
      <c r="AA36" s="41">
        <f>AA39+AA40</f>
        <v>7.6046858571294798E-2</v>
      </c>
      <c r="AB36" s="25">
        <f>AB39+AB40</f>
        <v>1.2472653554727299E-2</v>
      </c>
      <c r="AC36" s="37">
        <v>3.6155666577970702E-2</v>
      </c>
      <c r="AD36" s="37">
        <v>1.0535153974189001E-2</v>
      </c>
      <c r="AE36" s="37">
        <v>2.1036024190819302E-2</v>
      </c>
      <c r="AF36" s="37">
        <v>2.23507757027455E-2</v>
      </c>
      <c r="AG36" s="37">
        <f>AG39+AG40</f>
        <v>4.6777149012583192E-3</v>
      </c>
      <c r="AH36" s="25"/>
      <c r="AI36" s="25">
        <v>5.7104222888172101E-2</v>
      </c>
      <c r="AJ36" s="25">
        <f>SUM(AC36:AG36)</f>
        <v>9.4755335346982827E-2</v>
      </c>
      <c r="AN36" s="6">
        <f t="shared" ref="AN36:AN40" si="43">AJ5</f>
        <v>755.30000000000007</v>
      </c>
      <c r="AO36" s="6">
        <f t="shared" si="42"/>
        <v>1.4028603268945024</v>
      </c>
    </row>
    <row r="37" spans="1:43" ht="19.5" customHeight="1" x14ac:dyDescent="0.35">
      <c r="A37" s="1"/>
      <c r="B37" s="1"/>
      <c r="C37" s="2"/>
      <c r="D37" s="2"/>
      <c r="F37" s="2"/>
      <c r="J37" s="6" t="s">
        <v>201</v>
      </c>
      <c r="K37" s="6" t="s">
        <v>175</v>
      </c>
      <c r="L37" s="6">
        <v>3.1242684515255099E-2</v>
      </c>
      <c r="X37" s="6" t="s">
        <v>94</v>
      </c>
      <c r="Y37" s="6" t="s">
        <v>97</v>
      </c>
      <c r="Z37" s="6" t="s">
        <v>96</v>
      </c>
      <c r="AA37" s="42" t="s">
        <v>91</v>
      </c>
      <c r="AB37" s="6" t="s">
        <v>93</v>
      </c>
      <c r="AC37" s="6" t="s">
        <v>88</v>
      </c>
      <c r="AD37" s="6" t="s">
        <v>95</v>
      </c>
      <c r="AE37" s="6" t="s">
        <v>87</v>
      </c>
      <c r="AF37" s="6" t="s">
        <v>90</v>
      </c>
      <c r="AG37" s="6" t="s">
        <v>89</v>
      </c>
      <c r="AN37" s="6">
        <f t="shared" si="43"/>
        <v>726.30000000000007</v>
      </c>
      <c r="AO37" s="6">
        <f t="shared" si="42"/>
        <v>1.348997028231798</v>
      </c>
      <c r="AQ37" s="23"/>
    </row>
    <row r="38" spans="1:43" ht="19.5" customHeight="1" x14ac:dyDescent="0.35">
      <c r="F38" s="2"/>
      <c r="J38" s="6" t="s">
        <v>202</v>
      </c>
      <c r="K38" s="6" t="s">
        <v>176</v>
      </c>
      <c r="L38" s="6">
        <v>1.00670440632908</v>
      </c>
      <c r="AA38" s="42" t="s">
        <v>92</v>
      </c>
      <c r="AB38" s="6" t="s">
        <v>98</v>
      </c>
      <c r="AG38" s="6" t="s">
        <v>100</v>
      </c>
      <c r="AN38" s="6">
        <f t="shared" si="43"/>
        <v>709.2</v>
      </c>
      <c r="AO38" s="6">
        <f t="shared" si="42"/>
        <v>1.3172362555720656</v>
      </c>
      <c r="AQ38" s="23"/>
    </row>
    <row r="39" spans="1:43" ht="19.5" customHeight="1" x14ac:dyDescent="0.35">
      <c r="F39" s="2"/>
      <c r="J39" s="6" t="s">
        <v>201</v>
      </c>
      <c r="K39" s="6" t="s">
        <v>177</v>
      </c>
      <c r="L39" s="6">
        <v>4.2098906369769902E-3</v>
      </c>
      <c r="X39" s="6" t="s">
        <v>257</v>
      </c>
      <c r="AA39" s="41">
        <v>1.2167497371459699E-2</v>
      </c>
      <c r="AB39" s="25">
        <v>6.0546861949339903E-4</v>
      </c>
      <c r="AG39" s="25">
        <v>2.4980278726597898E-3</v>
      </c>
      <c r="AN39" s="6">
        <f t="shared" si="43"/>
        <v>688.30000000000007</v>
      </c>
      <c r="AO39" s="6">
        <f t="shared" si="42"/>
        <v>1.2784175334323924</v>
      </c>
      <c r="AQ39" s="23"/>
    </row>
    <row r="40" spans="1:43" ht="19.5" customHeight="1" x14ac:dyDescent="0.35">
      <c r="J40" s="6" t="s">
        <v>202</v>
      </c>
      <c r="K40" s="6" t="s">
        <v>178</v>
      </c>
      <c r="L40" s="6">
        <v>1.03093659171436</v>
      </c>
      <c r="X40" s="6" t="s">
        <v>258</v>
      </c>
      <c r="AA40" s="41">
        <v>6.3879361199835102E-2</v>
      </c>
      <c r="AB40" s="25">
        <v>1.18671849352339E-2</v>
      </c>
      <c r="AG40" s="25">
        <v>2.1796870285985298E-3</v>
      </c>
      <c r="AJ40" s="31">
        <v>6.58E-9</v>
      </c>
      <c r="AN40" s="6">
        <f t="shared" si="43"/>
        <v>677.4</v>
      </c>
      <c r="AO40" s="6">
        <f t="shared" si="42"/>
        <v>1.2581723625557206</v>
      </c>
    </row>
    <row r="41" spans="1:43" ht="19.5" customHeight="1" x14ac:dyDescent="0.35">
      <c r="A41" s="1"/>
      <c r="B41" s="1"/>
      <c r="C41" s="4"/>
      <c r="D41" s="4"/>
      <c r="J41" s="6" t="s">
        <v>201</v>
      </c>
      <c r="K41" s="6" t="s">
        <v>179</v>
      </c>
      <c r="L41" s="6">
        <v>3.0698133930844199E-2</v>
      </c>
      <c r="X41" s="6" t="s">
        <v>259</v>
      </c>
      <c r="AJ41" s="6" t="s">
        <v>86</v>
      </c>
    </row>
    <row r="42" spans="1:43" ht="19.5" customHeight="1" x14ac:dyDescent="0.35">
      <c r="C42" s="7"/>
      <c r="D42" s="7"/>
      <c r="X42" s="6" t="s">
        <v>260</v>
      </c>
    </row>
    <row r="43" spans="1:43" ht="19.5" customHeight="1" x14ac:dyDescent="0.35">
      <c r="X43" s="6" t="s">
        <v>261</v>
      </c>
    </row>
    <row r="44" spans="1:43" ht="19.5" customHeight="1" x14ac:dyDescent="0.35">
      <c r="X44" s="6" t="s">
        <v>262</v>
      </c>
    </row>
    <row r="49" spans="22:22" ht="19.5" customHeight="1" x14ac:dyDescent="0.35">
      <c r="V49" s="23"/>
    </row>
  </sheetData>
  <pageMargins left="0.7" right="0.7" top="0.75" bottom="0.75" header="0.3" footer="0.3"/>
  <ignoredErrors>
    <ignoredError sqref="P2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55596-EB62-47BD-8133-9E023B644437}">
  <dimension ref="A1:G12"/>
  <sheetViews>
    <sheetView workbookViewId="0">
      <selection activeCell="C12" sqref="C12"/>
    </sheetView>
  </sheetViews>
  <sheetFormatPr defaultRowHeight="14.5" x14ac:dyDescent="0.35"/>
  <cols>
    <col min="3" max="3" width="33.08984375" customWidth="1"/>
  </cols>
  <sheetData>
    <row r="1" spans="1:7" x14ac:dyDescent="0.35">
      <c r="A1" t="s">
        <v>137</v>
      </c>
    </row>
    <row r="2" spans="1:7" x14ac:dyDescent="0.35">
      <c r="E2" t="s">
        <v>2</v>
      </c>
      <c r="G2" t="s">
        <v>1</v>
      </c>
    </row>
    <row r="3" spans="1:7" x14ac:dyDescent="0.35">
      <c r="E3">
        <f>Sheet1!W27</f>
        <v>0</v>
      </c>
      <c r="F3" t="s">
        <v>30</v>
      </c>
      <c r="G3">
        <f>Sheet1!V27</f>
        <v>0</v>
      </c>
    </row>
    <row r="4" spans="1:7" x14ac:dyDescent="0.35">
      <c r="E4">
        <f>Sheet1!W28</f>
        <v>0.1140338899585063</v>
      </c>
      <c r="F4" t="s">
        <v>51</v>
      </c>
      <c r="G4">
        <f>Sheet1!V28</f>
        <v>0</v>
      </c>
    </row>
    <row r="5" spans="1:7" x14ac:dyDescent="0.35">
      <c r="E5">
        <f>Sheet1!W29</f>
        <v>0.11994832564093739</v>
      </c>
      <c r="F5" t="s">
        <v>52</v>
      </c>
      <c r="G5">
        <f>Sheet1!V29</f>
        <v>0</v>
      </c>
    </row>
    <row r="6" spans="1:7" x14ac:dyDescent="0.35">
      <c r="E6">
        <f>Sheet1!W30</f>
        <v>0.12425581249608321</v>
      </c>
      <c r="F6" t="s">
        <v>56</v>
      </c>
      <c r="G6">
        <f>Sheet1!V30</f>
        <v>0.12049048484468675</v>
      </c>
    </row>
    <row r="7" spans="1:7" x14ac:dyDescent="0.35">
      <c r="E7">
        <f>Sheet1!W31</f>
        <v>0.13041779341669696</v>
      </c>
      <c r="F7" t="s">
        <v>57</v>
      </c>
      <c r="G7">
        <f>Sheet1!V31</f>
        <v>0.22315310946594874</v>
      </c>
    </row>
    <row r="8" spans="1:7" x14ac:dyDescent="0.35">
      <c r="E8">
        <f>Sheet1!W32</f>
        <v>0.21260620673818195</v>
      </c>
      <c r="F8" t="s">
        <v>58</v>
      </c>
      <c r="G8">
        <f>Sheet1!V32</f>
        <v>0.26974768723550835</v>
      </c>
    </row>
    <row r="12" spans="1:7" x14ac:dyDescent="0.35">
      <c r="B12" t="s">
        <v>62</v>
      </c>
      <c r="C12" t="s">
        <v>77</v>
      </c>
      <c r="D12" s="10">
        <v>0.71316000000000002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CF898-C688-45B4-BCB7-4CD8C8F79DF5}">
  <dimension ref="A1:AG47"/>
  <sheetViews>
    <sheetView topLeftCell="O1" workbookViewId="0">
      <selection activeCell="R11" sqref="R11"/>
    </sheetView>
  </sheetViews>
  <sheetFormatPr defaultRowHeight="14.5" x14ac:dyDescent="0.35"/>
  <cols>
    <col min="3" max="3" width="77.81640625" customWidth="1"/>
    <col min="4" max="4" width="12.54296875" bestFit="1" customWidth="1"/>
  </cols>
  <sheetData>
    <row r="1" spans="1:33" x14ac:dyDescent="0.35">
      <c r="A1" t="s">
        <v>137</v>
      </c>
    </row>
    <row r="3" spans="1:33" x14ac:dyDescent="0.35">
      <c r="D3">
        <f>Sheet1!X27</f>
        <v>0.31049571912943025</v>
      </c>
      <c r="E3" t="s">
        <v>30</v>
      </c>
      <c r="G3" t="s">
        <v>222</v>
      </c>
    </row>
    <row r="4" spans="1:33" x14ac:dyDescent="0.35">
      <c r="D4">
        <f>Sheet1!X28</f>
        <v>0.32047672051183307</v>
      </c>
      <c r="E4" t="s">
        <v>51</v>
      </c>
    </row>
    <row r="5" spans="1:33" x14ac:dyDescent="0.35">
      <c r="D5">
        <f>Sheet1!X29</f>
        <v>0.2014499870808279</v>
      </c>
      <c r="E5" t="s">
        <v>52</v>
      </c>
    </row>
    <row r="6" spans="1:33" x14ac:dyDescent="0.35">
      <c r="D6">
        <f>Sheet1!X30</f>
        <v>0.19418332602201752</v>
      </c>
      <c r="E6" t="s">
        <v>56</v>
      </c>
    </row>
    <row r="7" spans="1:33" x14ac:dyDescent="0.35">
      <c r="D7">
        <f>Sheet1!X31</f>
        <v>0.15423199844445043</v>
      </c>
      <c r="E7" t="s">
        <v>57</v>
      </c>
      <c r="F7" s="9"/>
    </row>
    <row r="8" spans="1:33" x14ac:dyDescent="0.35">
      <c r="D8">
        <f>Sheet1!X32</f>
        <v>0.12212032116261523</v>
      </c>
      <c r="E8" t="s">
        <v>58</v>
      </c>
      <c r="I8" t="s">
        <v>67</v>
      </c>
    </row>
    <row r="9" spans="1:33" x14ac:dyDescent="0.35">
      <c r="I9">
        <f>H11+H12</f>
        <v>0.12587664289030956</v>
      </c>
    </row>
    <row r="10" spans="1:33" x14ac:dyDescent="0.35">
      <c r="D10" t="s">
        <v>45</v>
      </c>
      <c r="E10" s="11"/>
      <c r="F10" s="12" t="s">
        <v>47</v>
      </c>
      <c r="G10" s="12"/>
      <c r="H10" s="13" t="s">
        <v>46</v>
      </c>
      <c r="J10" s="11"/>
      <c r="K10" s="12" t="s">
        <v>49</v>
      </c>
      <c r="L10" s="12"/>
      <c r="M10" s="13" t="s">
        <v>50</v>
      </c>
      <c r="O10" s="11"/>
      <c r="P10" s="12" t="s">
        <v>53</v>
      </c>
      <c r="Q10" s="12"/>
      <c r="R10" s="13" t="s">
        <v>54</v>
      </c>
      <c r="T10" s="11"/>
      <c r="U10" s="12" t="s">
        <v>59</v>
      </c>
      <c r="V10" s="12"/>
      <c r="W10" s="13" t="s">
        <v>219</v>
      </c>
      <c r="Y10" s="11"/>
      <c r="Z10" s="12" t="s">
        <v>60</v>
      </c>
      <c r="AA10" s="12"/>
      <c r="AB10" s="13" t="s">
        <v>220</v>
      </c>
      <c r="AD10" s="11"/>
      <c r="AE10" s="12" t="s">
        <v>61</v>
      </c>
      <c r="AF10" s="12"/>
      <c r="AG10" s="13" t="s">
        <v>221</v>
      </c>
    </row>
    <row r="11" spans="1:33" x14ac:dyDescent="0.35">
      <c r="B11" s="9" t="s">
        <v>32</v>
      </c>
      <c r="C11" s="9" t="s">
        <v>33</v>
      </c>
      <c r="D11" s="10">
        <v>1.4308E-2</v>
      </c>
      <c r="E11" s="14"/>
      <c r="F11">
        <f>G17*$G$25/100</f>
        <v>22.472263058037115</v>
      </c>
      <c r="G11">
        <v>22</v>
      </c>
      <c r="H11" s="15">
        <f>F11*$D$3/100</f>
        <v>6.9775414786709622E-2</v>
      </c>
      <c r="I11">
        <f>H11*100/I9</f>
        <v>55.431582209824874</v>
      </c>
      <c r="J11" s="16"/>
      <c r="K11">
        <f>L17*$G$25/100</f>
        <v>27.715791104912441</v>
      </c>
      <c r="L11">
        <v>22</v>
      </c>
      <c r="M11" s="15">
        <f>K11*$D$4/100</f>
        <v>8.8822658396933735E-2</v>
      </c>
      <c r="O11" s="16"/>
      <c r="P11">
        <f>Q17*$G$25/100</f>
        <v>19.682228465807388</v>
      </c>
      <c r="Q11">
        <v>22</v>
      </c>
      <c r="R11" s="15">
        <f>P11*$D$5/100</f>
        <v>3.9649846701588012E-2</v>
      </c>
      <c r="T11" s="16"/>
      <c r="U11">
        <f>V17*$G$25/100</f>
        <v>19.317066527666249</v>
      </c>
      <c r="V11">
        <v>22</v>
      </c>
      <c r="W11" s="15">
        <f>U11*$D$6/100</f>
        <v>3.7510522273308172E-2</v>
      </c>
      <c r="Y11" s="16"/>
      <c r="Z11">
        <f>AA17*$G$25/100</f>
        <v>22.918827259831442</v>
      </c>
      <c r="AA11">
        <v>22</v>
      </c>
      <c r="AB11" s="15">
        <f>Z11*$D$7/100</f>
        <v>3.5348165302869508E-2</v>
      </c>
      <c r="AD11" s="16"/>
      <c r="AE11">
        <f>AF17*$G$25/100</f>
        <v>23.096492587427033</v>
      </c>
      <c r="AF11">
        <v>22</v>
      </c>
      <c r="AG11" s="15">
        <f>AE11*$D$8/100</f>
        <v>2.8205510925065513E-2</v>
      </c>
    </row>
    <row r="12" spans="1:33" x14ac:dyDescent="0.35">
      <c r="B12" s="9" t="s">
        <v>32</v>
      </c>
      <c r="C12" s="9" t="s">
        <v>34</v>
      </c>
      <c r="D12" s="10">
        <v>1.1504E-2</v>
      </c>
      <c r="E12" s="14"/>
      <c r="F12">
        <f>G17*$G$26/100</f>
        <v>18.068277482503426</v>
      </c>
      <c r="G12">
        <v>18</v>
      </c>
      <c r="H12" s="15">
        <f>F12*$D$3/100</f>
        <v>5.610122810359993E-2</v>
      </c>
      <c r="I12">
        <f>H12*100/I9</f>
        <v>44.568417790175118</v>
      </c>
      <c r="J12" s="16"/>
      <c r="K12">
        <f>L17*$G$26/100</f>
        <v>22.284208895087556</v>
      </c>
      <c r="L12">
        <v>18</v>
      </c>
      <c r="M12" s="15">
        <f>K12*$D$4/100</f>
        <v>7.1415701858982786E-2</v>
      </c>
      <c r="O12" s="16"/>
      <c r="P12">
        <f>Q17*$G$26/100</f>
        <v>15.825017911004206</v>
      </c>
      <c r="Q12">
        <v>18</v>
      </c>
      <c r="R12" s="15">
        <f>P12*$D$5/100</f>
        <v>3.1879496537256677E-2</v>
      </c>
      <c r="T12" s="16"/>
      <c r="U12">
        <f>V17*$G$26/100</f>
        <v>15.531418320818601</v>
      </c>
      <c r="V12">
        <v>18</v>
      </c>
      <c r="W12" s="15">
        <f>U12*$D$6/100</f>
        <v>3.0159424673758543E-2</v>
      </c>
      <c r="Y12" s="16"/>
      <c r="Z12">
        <f>AA17*$G$26/100</f>
        <v>18.427326586322401</v>
      </c>
      <c r="AA12">
        <v>18</v>
      </c>
      <c r="AB12" s="15">
        <f>Z12*$D$7/100</f>
        <v>2.8420834053970567E-2</v>
      </c>
      <c r="AD12" s="16"/>
      <c r="AE12">
        <f>AF17*$G$26/100</f>
        <v>18.570174079239628</v>
      </c>
      <c r="AF12">
        <v>18</v>
      </c>
      <c r="AG12" s="15">
        <f>AE12*$D$8/100</f>
        <v>2.2677956226024157E-2</v>
      </c>
    </row>
    <row r="13" spans="1:33" x14ac:dyDescent="0.35">
      <c r="B13" s="9" t="s">
        <v>32</v>
      </c>
      <c r="C13" s="9" t="s">
        <v>35</v>
      </c>
      <c r="D13" s="10">
        <v>8.9283000000000001E-3</v>
      </c>
      <c r="E13" s="14"/>
      <c r="F13">
        <f>$G$18</f>
        <v>59.45945945945946</v>
      </c>
      <c r="G13">
        <v>60</v>
      </c>
      <c r="H13" s="15">
        <f>F13*$D$3/100</f>
        <v>0.18461907623912069</v>
      </c>
      <c r="J13" s="16"/>
      <c r="K13">
        <f>L18</f>
        <v>50</v>
      </c>
      <c r="L13">
        <v>60</v>
      </c>
      <c r="M13" s="15">
        <f>K13*$D$4/100</f>
        <v>0.16023836025591653</v>
      </c>
      <c r="O13" s="16"/>
      <c r="P13">
        <f>Q18</f>
        <v>64.492753623188406</v>
      </c>
      <c r="Q13">
        <v>60</v>
      </c>
      <c r="R13" s="15">
        <f>P13*$D$5/100</f>
        <v>0.12992064384198321</v>
      </c>
      <c r="T13" s="16"/>
      <c r="U13">
        <f>V18</f>
        <v>65.151515151515156</v>
      </c>
      <c r="V13">
        <v>60</v>
      </c>
      <c r="W13" s="15">
        <f>U13*$D$6/100</f>
        <v>0.1265133790749508</v>
      </c>
      <c r="Y13" s="16"/>
      <c r="Z13">
        <f>AA18</f>
        <v>58.653846153846153</v>
      </c>
      <c r="AA13">
        <v>60</v>
      </c>
      <c r="AB13" s="15">
        <f>Z13*$D$7/100</f>
        <v>9.0462999087610352E-2</v>
      </c>
      <c r="AD13" s="16"/>
      <c r="AE13">
        <f>AF18</f>
        <v>58.333333333333336</v>
      </c>
      <c r="AF13">
        <v>60</v>
      </c>
      <c r="AG13" s="15">
        <f>AE13*$D$8/100</f>
        <v>7.1236854011525561E-2</v>
      </c>
    </row>
    <row r="14" spans="1:33" x14ac:dyDescent="0.35">
      <c r="B14" s="8" t="s">
        <v>0</v>
      </c>
      <c r="D14" s="10">
        <f>SUM(D11:D13)</f>
        <v>3.4740300000000002E-2</v>
      </c>
      <c r="E14" s="16"/>
      <c r="H14" s="17">
        <f>SUM(H11:H13)</f>
        <v>0.31049571912943025</v>
      </c>
      <c r="J14" s="16"/>
      <c r="M14" s="17">
        <f>SUM(M11:M13)</f>
        <v>0.32047672051183307</v>
      </c>
      <c r="O14" s="16"/>
      <c r="R14" s="17">
        <f>SUM(R11:R13)</f>
        <v>0.2014499870808279</v>
      </c>
      <c r="T14" s="16"/>
      <c r="W14" s="17">
        <f>SUM(W11:W13)</f>
        <v>0.19418332602201752</v>
      </c>
      <c r="Y14" s="16"/>
      <c r="AB14" s="17">
        <f>SUM(AB11:AB13)</f>
        <v>0.15423199844445043</v>
      </c>
      <c r="AD14" s="16"/>
      <c r="AG14" s="17">
        <f>SUM(AG11:AG13)</f>
        <v>0.12212032116261523</v>
      </c>
    </row>
    <row r="15" spans="1:33" x14ac:dyDescent="0.35">
      <c r="E15" s="16"/>
      <c r="F15" t="s">
        <v>44</v>
      </c>
      <c r="G15" t="s">
        <v>44</v>
      </c>
      <c r="H15" s="17"/>
      <c r="J15" s="16"/>
      <c r="K15" t="s">
        <v>44</v>
      </c>
      <c r="L15" t="s">
        <v>44</v>
      </c>
      <c r="M15" s="17"/>
      <c r="O15" s="16"/>
      <c r="P15" t="s">
        <v>44</v>
      </c>
      <c r="Q15" t="s">
        <v>44</v>
      </c>
      <c r="R15" s="17"/>
      <c r="T15" s="16"/>
      <c r="U15" t="s">
        <v>44</v>
      </c>
      <c r="V15" t="s">
        <v>44</v>
      </c>
      <c r="W15" s="17"/>
      <c r="Y15" s="16"/>
      <c r="Z15" t="s">
        <v>44</v>
      </c>
      <c r="AA15" t="s">
        <v>44</v>
      </c>
      <c r="AB15" s="17"/>
      <c r="AD15" s="16"/>
      <c r="AE15" t="s">
        <v>44</v>
      </c>
      <c r="AF15" t="s">
        <v>44</v>
      </c>
      <c r="AG15" s="17"/>
    </row>
    <row r="16" spans="1:33" x14ac:dyDescent="0.35">
      <c r="E16" s="16"/>
      <c r="H16" s="17"/>
      <c r="J16" s="16"/>
      <c r="M16" s="17"/>
      <c r="O16" s="16"/>
      <c r="R16" s="17"/>
      <c r="T16" s="16"/>
      <c r="W16" s="17"/>
      <c r="Y16" s="16"/>
      <c r="AB16" s="17"/>
      <c r="AD16" s="16"/>
      <c r="AG16" s="17"/>
    </row>
    <row r="17" spans="2:33" x14ac:dyDescent="0.35">
      <c r="E17" s="16" t="s">
        <v>36</v>
      </c>
      <c r="F17">
        <v>90</v>
      </c>
      <c r="G17">
        <f>F17*100/222</f>
        <v>40.54054054054054</v>
      </c>
      <c r="H17" s="17"/>
      <c r="J17" s="16" t="s">
        <v>36</v>
      </c>
      <c r="K17">
        <v>114</v>
      </c>
      <c r="L17">
        <f>K17*100/228</f>
        <v>50</v>
      </c>
      <c r="M17" s="17"/>
      <c r="O17" s="16" t="s">
        <v>36</v>
      </c>
      <c r="P17">
        <v>49</v>
      </c>
      <c r="Q17">
        <f>P17*100/138</f>
        <v>35.507246376811594</v>
      </c>
      <c r="R17" s="17"/>
      <c r="T17" s="16" t="s">
        <v>36</v>
      </c>
      <c r="U17">
        <v>46</v>
      </c>
      <c r="V17">
        <f>U17*100/132</f>
        <v>34.848484848484851</v>
      </c>
      <c r="W17" s="17"/>
      <c r="Y17" s="16" t="s">
        <v>36</v>
      </c>
      <c r="Z17">
        <v>43</v>
      </c>
      <c r="AA17">
        <f>Z17*100/104</f>
        <v>41.346153846153847</v>
      </c>
      <c r="AB17" s="17"/>
      <c r="AD17" s="16" t="s">
        <v>36</v>
      </c>
      <c r="AE17">
        <v>35</v>
      </c>
      <c r="AF17">
        <f>AE17*100/84</f>
        <v>41.666666666666664</v>
      </c>
      <c r="AG17" s="17"/>
    </row>
    <row r="18" spans="2:33" x14ac:dyDescent="0.35">
      <c r="B18" s="8" t="s">
        <v>0</v>
      </c>
      <c r="E18" s="16" t="s">
        <v>37</v>
      </c>
      <c r="F18">
        <v>132</v>
      </c>
      <c r="G18">
        <f>F18*100/222</f>
        <v>59.45945945945946</v>
      </c>
      <c r="H18" s="17"/>
      <c r="J18" s="16" t="s">
        <v>37</v>
      </c>
      <c r="K18">
        <v>114</v>
      </c>
      <c r="L18">
        <f>K18*100/228</f>
        <v>50</v>
      </c>
      <c r="M18" s="17"/>
      <c r="O18" s="16" t="s">
        <v>37</v>
      </c>
      <c r="P18">
        <v>89</v>
      </c>
      <c r="Q18">
        <f>P18*100/138</f>
        <v>64.492753623188406</v>
      </c>
      <c r="R18" s="17"/>
      <c r="T18" s="16" t="s">
        <v>37</v>
      </c>
      <c r="U18">
        <v>86</v>
      </c>
      <c r="V18">
        <f>U18*100/132</f>
        <v>65.151515151515156</v>
      </c>
      <c r="W18" s="17"/>
      <c r="Y18" s="16" t="s">
        <v>37</v>
      </c>
      <c r="Z18">
        <v>61</v>
      </c>
      <c r="AA18">
        <f>Z18*100/104</f>
        <v>58.653846153846153</v>
      </c>
      <c r="AB18" s="17"/>
      <c r="AD18" s="16" t="s">
        <v>37</v>
      </c>
      <c r="AE18">
        <v>49</v>
      </c>
      <c r="AF18">
        <f>AE18*100/84</f>
        <v>58.333333333333336</v>
      </c>
      <c r="AG18" s="17"/>
    </row>
    <row r="19" spans="2:33" x14ac:dyDescent="0.35">
      <c r="E19" s="16" t="s">
        <v>38</v>
      </c>
      <c r="F19">
        <f>F17+F18</f>
        <v>222</v>
      </c>
      <c r="H19" s="17"/>
      <c r="J19" s="16" t="s">
        <v>38</v>
      </c>
      <c r="K19">
        <f>K17+K18</f>
        <v>228</v>
      </c>
      <c r="M19" s="17"/>
      <c r="O19" s="16" t="s">
        <v>38</v>
      </c>
      <c r="P19">
        <f>P17+P18</f>
        <v>138</v>
      </c>
      <c r="R19" s="17"/>
      <c r="T19" s="16" t="s">
        <v>38</v>
      </c>
      <c r="U19">
        <f>U17+U18</f>
        <v>132</v>
      </c>
      <c r="W19" s="17"/>
      <c r="Y19" s="16" t="s">
        <v>38</v>
      </c>
      <c r="Z19">
        <f>Z17+Z18</f>
        <v>104</v>
      </c>
      <c r="AB19" s="17"/>
      <c r="AD19" s="16" t="s">
        <v>38</v>
      </c>
      <c r="AE19">
        <f>AE17+AE18</f>
        <v>84</v>
      </c>
      <c r="AG19" s="17"/>
    </row>
    <row r="20" spans="2:33" x14ac:dyDescent="0.35">
      <c r="E20" s="16"/>
      <c r="H20" s="17"/>
      <c r="J20" s="16"/>
      <c r="M20" s="17"/>
      <c r="O20" s="16"/>
      <c r="R20" s="17"/>
      <c r="T20" s="16"/>
      <c r="W20" s="17"/>
      <c r="Y20" s="16"/>
      <c r="AB20" s="17"/>
      <c r="AD20" s="16"/>
      <c r="AG20" s="17"/>
    </row>
    <row r="21" spans="2:33" x14ac:dyDescent="0.35">
      <c r="E21" s="16" t="s">
        <v>39</v>
      </c>
      <c r="F21">
        <f>Sheet1!N4</f>
        <v>208</v>
      </c>
      <c r="H21" s="17"/>
      <c r="J21" s="16" t="s">
        <v>48</v>
      </c>
      <c r="K21">
        <f>Sheet1!N5</f>
        <v>214</v>
      </c>
      <c r="M21" s="17"/>
      <c r="O21" s="16" t="s">
        <v>55</v>
      </c>
      <c r="P21">
        <f>Sheet1!N6</f>
        <v>125</v>
      </c>
      <c r="R21" s="17"/>
      <c r="T21" s="16" t="s">
        <v>55</v>
      </c>
      <c r="U21">
        <f>Sheet1!N7</f>
        <v>118</v>
      </c>
      <c r="W21" s="17"/>
      <c r="Y21" s="16" t="s">
        <v>55</v>
      </c>
      <c r="Z21">
        <f>Sheet1!N8</f>
        <v>90</v>
      </c>
      <c r="AB21" s="17"/>
      <c r="AD21" s="16" t="s">
        <v>55</v>
      </c>
      <c r="AE21">
        <f>Sheet1!N9</f>
        <v>70</v>
      </c>
      <c r="AG21" s="17"/>
    </row>
    <row r="22" spans="2:33" x14ac:dyDescent="0.35">
      <c r="D22" t="s">
        <v>70</v>
      </c>
      <c r="E22" s="16" t="s">
        <v>40</v>
      </c>
      <c r="F22">
        <v>14.6</v>
      </c>
      <c r="G22" t="s">
        <v>41</v>
      </c>
      <c r="H22" s="17"/>
      <c r="J22" s="16" t="s">
        <v>40</v>
      </c>
      <c r="K22">
        <v>14.6</v>
      </c>
      <c r="L22" t="s">
        <v>41</v>
      </c>
      <c r="M22" s="17"/>
      <c r="O22" s="16" t="s">
        <v>40</v>
      </c>
      <c r="P22">
        <v>14.6</v>
      </c>
      <c r="Q22" t="s">
        <v>41</v>
      </c>
      <c r="R22" s="17"/>
      <c r="T22" s="16" t="s">
        <v>40</v>
      </c>
      <c r="U22">
        <v>14.6</v>
      </c>
      <c r="V22" t="s">
        <v>41</v>
      </c>
      <c r="W22" s="17"/>
      <c r="Y22" s="16" t="s">
        <v>40</v>
      </c>
      <c r="Z22">
        <v>14.6</v>
      </c>
      <c r="AA22" t="s">
        <v>41</v>
      </c>
      <c r="AB22" s="17"/>
      <c r="AD22" s="16" t="s">
        <v>40</v>
      </c>
      <c r="AE22">
        <v>14.6</v>
      </c>
      <c r="AF22" t="s">
        <v>41</v>
      </c>
      <c r="AG22" s="17"/>
    </row>
    <row r="23" spans="2:33" x14ac:dyDescent="0.35">
      <c r="E23" s="18" t="s">
        <v>38</v>
      </c>
      <c r="F23" s="19">
        <f>F21+F22</f>
        <v>222.6</v>
      </c>
      <c r="G23" s="19"/>
      <c r="H23" s="20"/>
      <c r="J23" s="18" t="s">
        <v>38</v>
      </c>
      <c r="K23" s="19">
        <f>K21+K22</f>
        <v>228.6</v>
      </c>
      <c r="L23" s="19"/>
      <c r="M23" s="20"/>
      <c r="O23" s="18" t="s">
        <v>38</v>
      </c>
      <c r="P23" s="19">
        <f>P21+P22</f>
        <v>139.6</v>
      </c>
      <c r="Q23" s="19"/>
      <c r="R23" s="20"/>
      <c r="T23" s="18" t="s">
        <v>38</v>
      </c>
      <c r="U23" s="19">
        <f>U21+U22</f>
        <v>132.6</v>
      </c>
      <c r="V23" s="19"/>
      <c r="W23" s="20"/>
      <c r="Y23" s="18" t="s">
        <v>38</v>
      </c>
      <c r="Z23" s="19">
        <f>Z21+Z22</f>
        <v>104.6</v>
      </c>
      <c r="AA23" s="19"/>
      <c r="AB23" s="20"/>
      <c r="AD23" s="18" t="s">
        <v>38</v>
      </c>
      <c r="AE23" s="19">
        <f>AE21+AE22</f>
        <v>84.6</v>
      </c>
      <c r="AF23" s="19"/>
      <c r="AG23" s="20"/>
    </row>
    <row r="25" spans="2:33" x14ac:dyDescent="0.35">
      <c r="E25" t="s">
        <v>42</v>
      </c>
      <c r="F25" s="10">
        <v>1.4308E-2</v>
      </c>
      <c r="G25">
        <f>F25*100/F27</f>
        <v>55.431582209824882</v>
      </c>
      <c r="L25" s="10"/>
    </row>
    <row r="26" spans="2:33" x14ac:dyDescent="0.35">
      <c r="E26" t="s">
        <v>43</v>
      </c>
      <c r="F26" s="10">
        <v>1.1504E-2</v>
      </c>
      <c r="G26">
        <f>F26*100/F27</f>
        <v>44.568417790175111</v>
      </c>
    </row>
    <row r="27" spans="2:33" x14ac:dyDescent="0.35">
      <c r="E27" t="s">
        <v>38</v>
      </c>
      <c r="F27" s="10">
        <v>2.5812000000000002E-2</v>
      </c>
    </row>
    <row r="29" spans="2:33" x14ac:dyDescent="0.35">
      <c r="B29" t="s">
        <v>68</v>
      </c>
      <c r="I29">
        <f>H31+H32</f>
        <v>0.12587664289030959</v>
      </c>
    </row>
    <row r="30" spans="2:33" x14ac:dyDescent="0.35">
      <c r="D30" t="s">
        <v>45</v>
      </c>
      <c r="E30" s="11"/>
      <c r="F30" s="12" t="s">
        <v>47</v>
      </c>
      <c r="G30" s="12"/>
      <c r="H30" s="13" t="s">
        <v>46</v>
      </c>
      <c r="J30" s="11"/>
      <c r="K30" s="12" t="s">
        <v>49</v>
      </c>
      <c r="L30" s="12"/>
      <c r="M30" s="13" t="s">
        <v>50</v>
      </c>
      <c r="O30" s="11"/>
      <c r="P30" s="12" t="s">
        <v>53</v>
      </c>
      <c r="Q30" s="12"/>
      <c r="R30" s="13" t="s">
        <v>54</v>
      </c>
      <c r="T30" s="11"/>
      <c r="U30" s="12" t="s">
        <v>59</v>
      </c>
      <c r="V30" s="12"/>
      <c r="W30" s="13" t="s">
        <v>54</v>
      </c>
      <c r="Y30" s="11"/>
      <c r="Z30" s="12" t="s">
        <v>60</v>
      </c>
      <c r="AA30" s="12"/>
      <c r="AB30" s="13" t="s">
        <v>54</v>
      </c>
      <c r="AD30" s="11"/>
      <c r="AE30" s="12" t="s">
        <v>61</v>
      </c>
      <c r="AF30" s="12"/>
      <c r="AG30" s="13" t="s">
        <v>54</v>
      </c>
    </row>
    <row r="31" spans="2:33" x14ac:dyDescent="0.35">
      <c r="B31" s="9" t="s">
        <v>32</v>
      </c>
      <c r="C31" s="9" t="s">
        <v>33</v>
      </c>
      <c r="D31" s="10">
        <v>1.4308E-2</v>
      </c>
      <c r="E31" s="14"/>
      <c r="F31">
        <f>G37*$G$45/100</f>
        <v>33.648648648648653</v>
      </c>
      <c r="G31">
        <v>22</v>
      </c>
      <c r="H31" s="15">
        <f>F31*$D$3/100</f>
        <v>0.10447761359895695</v>
      </c>
      <c r="I31">
        <f>H31*100/I29</f>
        <v>83</v>
      </c>
      <c r="J31" s="16"/>
      <c r="K31">
        <f>L37*$G$45/100</f>
        <v>41.5</v>
      </c>
      <c r="L31">
        <v>22</v>
      </c>
      <c r="M31" s="15">
        <f>K31*$D$4/100</f>
        <v>0.13299783901241072</v>
      </c>
      <c r="O31" s="16"/>
      <c r="P31">
        <f>Q37*$G$45/100</f>
        <v>29.471014492753625</v>
      </c>
      <c r="Q31">
        <v>22</v>
      </c>
      <c r="R31" s="15">
        <f>P31*$D$5/100</f>
        <v>5.9369354888241091E-2</v>
      </c>
      <c r="T31" s="16"/>
      <c r="U31">
        <f>V37*$G$45/100</f>
        <v>28.924242424242426</v>
      </c>
      <c r="V31">
        <v>22</v>
      </c>
      <c r="W31" s="15">
        <f>U31*$D$6/100</f>
        <v>5.6166055966065373E-2</v>
      </c>
      <c r="Y31" s="16"/>
      <c r="Z31">
        <f>AA37*$G$45/100</f>
        <v>34.317307692307693</v>
      </c>
      <c r="AA31">
        <v>22</v>
      </c>
      <c r="AB31" s="15">
        <f>Z31*$D$7/100</f>
        <v>5.292826946617727E-2</v>
      </c>
      <c r="AD31" s="16"/>
      <c r="AE31">
        <f>AF37*$G$45/100</f>
        <v>34.583333333333329</v>
      </c>
      <c r="AF31">
        <v>22</v>
      </c>
      <c r="AG31" s="15">
        <f>AE31*$D$8/100</f>
        <v>4.2233277735404424E-2</v>
      </c>
    </row>
    <row r="32" spans="2:33" x14ac:dyDescent="0.35">
      <c r="B32" s="9" t="s">
        <v>32</v>
      </c>
      <c r="C32" s="9" t="s">
        <v>34</v>
      </c>
      <c r="D32" s="10">
        <v>1.1504E-2</v>
      </c>
      <c r="E32" s="14"/>
      <c r="F32">
        <f>G37*$G$46/100</f>
        <v>6.8918918918918912</v>
      </c>
      <c r="G32">
        <v>18</v>
      </c>
      <c r="H32" s="15">
        <f>F32*$D$3/100</f>
        <v>2.1399029291352623E-2</v>
      </c>
      <c r="I32">
        <f>H32*100/I29</f>
        <v>16.999999999999993</v>
      </c>
      <c r="J32" s="16"/>
      <c r="K32">
        <f>L37*$G$46/100</f>
        <v>8.5</v>
      </c>
      <c r="L32">
        <v>18</v>
      </c>
      <c r="M32" s="15">
        <f>K32*$D$4/100</f>
        <v>2.7240521243505809E-2</v>
      </c>
      <c r="O32" s="16"/>
      <c r="P32">
        <f>Q37*$G$46/100</f>
        <v>6.0362318840579716</v>
      </c>
      <c r="Q32">
        <v>18</v>
      </c>
      <c r="R32" s="15">
        <f>P32*$D$5/100</f>
        <v>1.2159988350603598E-2</v>
      </c>
      <c r="T32" s="16"/>
      <c r="U32">
        <f>V37*$G$46/100</f>
        <v>5.9242424242424248</v>
      </c>
      <c r="V32">
        <v>18</v>
      </c>
      <c r="W32" s="15">
        <f>U32*$D$6/100</f>
        <v>1.1503890981001342E-2</v>
      </c>
      <c r="Y32" s="16"/>
      <c r="Z32">
        <f>AA37*$G$46/100</f>
        <v>7.0288461538461533</v>
      </c>
      <c r="AA32">
        <v>18</v>
      </c>
      <c r="AB32" s="15">
        <f>Z32*$D$7/100</f>
        <v>1.0840729890662813E-2</v>
      </c>
      <c r="AD32" s="16"/>
      <c r="AE32">
        <f>AF37*$G$46/100</f>
        <v>7.0833333333333321</v>
      </c>
      <c r="AF32">
        <v>18</v>
      </c>
      <c r="AG32" s="15">
        <f>AE32*$D$8/100</f>
        <v>8.650189415685244E-3</v>
      </c>
    </row>
    <row r="33" spans="2:33" x14ac:dyDescent="0.35">
      <c r="B33" s="9" t="s">
        <v>32</v>
      </c>
      <c r="C33" s="9" t="s">
        <v>35</v>
      </c>
      <c r="D33" s="10">
        <v>8.9283000000000001E-3</v>
      </c>
      <c r="E33" s="14"/>
      <c r="F33">
        <f>$G$18</f>
        <v>59.45945945945946</v>
      </c>
      <c r="G33">
        <v>60</v>
      </c>
      <c r="H33" s="15">
        <f>F33*$D$3/100</f>
        <v>0.18461907623912069</v>
      </c>
      <c r="J33" s="16"/>
      <c r="K33">
        <f>L38</f>
        <v>50</v>
      </c>
      <c r="L33">
        <v>60</v>
      </c>
      <c r="M33" s="15">
        <f>K33*$D$4/100</f>
        <v>0.16023836025591653</v>
      </c>
      <c r="O33" s="16"/>
      <c r="P33">
        <f>Q38</f>
        <v>64.492753623188406</v>
      </c>
      <c r="Q33">
        <v>60</v>
      </c>
      <c r="R33" s="15">
        <f>P33*$D$5/100</f>
        <v>0.12992064384198321</v>
      </c>
      <c r="T33" s="16"/>
      <c r="U33">
        <f>V38</f>
        <v>65.151515151515156</v>
      </c>
      <c r="V33">
        <v>60</v>
      </c>
      <c r="W33" s="15">
        <f>U33*$D$6/100</f>
        <v>0.1265133790749508</v>
      </c>
      <c r="Y33" s="16"/>
      <c r="Z33">
        <f>AA38</f>
        <v>58.653846153846153</v>
      </c>
      <c r="AA33">
        <v>60</v>
      </c>
      <c r="AB33" s="15">
        <f>Z33*$D$7/100</f>
        <v>9.0462999087610352E-2</v>
      </c>
      <c r="AD33" s="16"/>
      <c r="AE33">
        <f>AF38</f>
        <v>58.333333333333336</v>
      </c>
      <c r="AF33">
        <v>60</v>
      </c>
      <c r="AG33" s="15">
        <f>AE33*$D$8/100</f>
        <v>7.1236854011525561E-2</v>
      </c>
    </row>
    <row r="34" spans="2:33" x14ac:dyDescent="0.35">
      <c r="B34" s="8" t="s">
        <v>0</v>
      </c>
      <c r="D34" s="10">
        <f>SUM(D31:D33)</f>
        <v>3.4740300000000002E-2</v>
      </c>
      <c r="E34" s="16"/>
      <c r="H34" s="17">
        <f>SUM(H31:H33)</f>
        <v>0.3104957191294303</v>
      </c>
      <c r="J34" s="16"/>
      <c r="M34" s="17">
        <f>SUM(M31:M33)</f>
        <v>0.32047672051183307</v>
      </c>
      <c r="O34" s="16"/>
      <c r="R34" s="17">
        <f>SUM(R31:R33)</f>
        <v>0.2014499870808279</v>
      </c>
      <c r="T34" s="16"/>
      <c r="W34" s="17">
        <f>SUM(W31:W33)</f>
        <v>0.19418332602201752</v>
      </c>
      <c r="Y34" s="16"/>
      <c r="AB34" s="17">
        <f>SUM(AB31:AB33)</f>
        <v>0.15423199844445043</v>
      </c>
      <c r="AD34" s="16"/>
      <c r="AG34" s="17">
        <f>SUM(AG31:AG33)</f>
        <v>0.12212032116261523</v>
      </c>
    </row>
    <row r="35" spans="2:33" x14ac:dyDescent="0.35">
      <c r="E35" s="16"/>
      <c r="F35" t="s">
        <v>44</v>
      </c>
      <c r="G35" t="s">
        <v>44</v>
      </c>
      <c r="H35" s="17"/>
      <c r="J35" s="16"/>
      <c r="K35" t="s">
        <v>44</v>
      </c>
      <c r="L35" t="s">
        <v>44</v>
      </c>
      <c r="M35" s="17"/>
      <c r="O35" s="16"/>
      <c r="P35" t="s">
        <v>44</v>
      </c>
      <c r="Q35" t="s">
        <v>44</v>
      </c>
      <c r="R35" s="17"/>
      <c r="T35" s="16"/>
      <c r="U35" t="s">
        <v>44</v>
      </c>
      <c r="V35" t="s">
        <v>44</v>
      </c>
      <c r="W35" s="17"/>
      <c r="Y35" s="16"/>
      <c r="Z35" t="s">
        <v>44</v>
      </c>
      <c r="AA35" t="s">
        <v>44</v>
      </c>
      <c r="AB35" s="17"/>
      <c r="AD35" s="16"/>
      <c r="AE35" t="s">
        <v>44</v>
      </c>
      <c r="AF35" t="s">
        <v>44</v>
      </c>
      <c r="AG35" s="17"/>
    </row>
    <row r="36" spans="2:33" x14ac:dyDescent="0.35">
      <c r="E36" s="16"/>
      <c r="H36" s="17"/>
      <c r="J36" s="16"/>
      <c r="M36" s="17"/>
      <c r="O36" s="16"/>
      <c r="R36" s="17"/>
      <c r="T36" s="16"/>
      <c r="W36" s="17"/>
      <c r="Y36" s="16"/>
      <c r="AB36" s="17"/>
      <c r="AD36" s="16"/>
      <c r="AG36" s="17"/>
    </row>
    <row r="37" spans="2:33" x14ac:dyDescent="0.35">
      <c r="E37" s="16" t="s">
        <v>36</v>
      </c>
      <c r="F37">
        <v>90</v>
      </c>
      <c r="G37">
        <f>F37*100/222</f>
        <v>40.54054054054054</v>
      </c>
      <c r="H37" s="17"/>
      <c r="J37" s="16" t="s">
        <v>36</v>
      </c>
      <c r="K37">
        <v>114</v>
      </c>
      <c r="L37">
        <f>K37*100/228</f>
        <v>50</v>
      </c>
      <c r="M37" s="17"/>
      <c r="O37" s="16" t="s">
        <v>36</v>
      </c>
      <c r="P37">
        <v>49</v>
      </c>
      <c r="Q37">
        <f>P37*100/138</f>
        <v>35.507246376811594</v>
      </c>
      <c r="R37" s="17"/>
      <c r="T37" s="16" t="s">
        <v>36</v>
      </c>
      <c r="U37">
        <v>46</v>
      </c>
      <c r="V37">
        <f>U37*100/132</f>
        <v>34.848484848484851</v>
      </c>
      <c r="W37" s="17"/>
      <c r="Y37" s="16" t="s">
        <v>36</v>
      </c>
      <c r="Z37">
        <v>43</v>
      </c>
      <c r="AA37">
        <f>Z37*100/104</f>
        <v>41.346153846153847</v>
      </c>
      <c r="AB37" s="17"/>
      <c r="AD37" s="16" t="s">
        <v>36</v>
      </c>
      <c r="AE37">
        <v>35</v>
      </c>
      <c r="AF37">
        <f>AE37*100/84</f>
        <v>41.666666666666664</v>
      </c>
      <c r="AG37" s="17"/>
    </row>
    <row r="38" spans="2:33" x14ac:dyDescent="0.35">
      <c r="B38" s="8" t="s">
        <v>0</v>
      </c>
      <c r="E38" s="16" t="s">
        <v>37</v>
      </c>
      <c r="F38">
        <v>132</v>
      </c>
      <c r="G38">
        <f>F38*100/222</f>
        <v>59.45945945945946</v>
      </c>
      <c r="H38" s="17"/>
      <c r="J38" s="16" t="s">
        <v>37</v>
      </c>
      <c r="K38">
        <v>114</v>
      </c>
      <c r="L38">
        <f>K38*100/228</f>
        <v>50</v>
      </c>
      <c r="M38" s="17"/>
      <c r="O38" s="16" t="s">
        <v>37</v>
      </c>
      <c r="P38">
        <v>89</v>
      </c>
      <c r="Q38">
        <f>P38*100/138</f>
        <v>64.492753623188406</v>
      </c>
      <c r="R38" s="17"/>
      <c r="T38" s="16" t="s">
        <v>37</v>
      </c>
      <c r="U38">
        <v>86</v>
      </c>
      <c r="V38">
        <f>U38*100/132</f>
        <v>65.151515151515156</v>
      </c>
      <c r="W38" s="17"/>
      <c r="Y38" s="16" t="s">
        <v>37</v>
      </c>
      <c r="Z38">
        <v>61</v>
      </c>
      <c r="AA38">
        <f>Z38*100/104</f>
        <v>58.653846153846153</v>
      </c>
      <c r="AB38" s="17"/>
      <c r="AD38" s="16" t="s">
        <v>37</v>
      </c>
      <c r="AE38">
        <v>49</v>
      </c>
      <c r="AF38">
        <f>AE38*100/84</f>
        <v>58.333333333333336</v>
      </c>
      <c r="AG38" s="17"/>
    </row>
    <row r="39" spans="2:33" x14ac:dyDescent="0.35">
      <c r="E39" s="16" t="s">
        <v>38</v>
      </c>
      <c r="F39">
        <f>F37+F38</f>
        <v>222</v>
      </c>
      <c r="H39" s="17"/>
      <c r="J39" s="16" t="s">
        <v>38</v>
      </c>
      <c r="K39">
        <f>K37+K38</f>
        <v>228</v>
      </c>
      <c r="M39" s="17"/>
      <c r="O39" s="16" t="s">
        <v>38</v>
      </c>
      <c r="P39">
        <f>P37+P38</f>
        <v>138</v>
      </c>
      <c r="R39" s="17"/>
      <c r="T39" s="16" t="s">
        <v>38</v>
      </c>
      <c r="U39">
        <f>U37+U38</f>
        <v>132</v>
      </c>
      <c r="W39" s="17"/>
      <c r="Y39" s="16" t="s">
        <v>38</v>
      </c>
      <c r="Z39">
        <f>Z37+Z38</f>
        <v>104</v>
      </c>
      <c r="AB39" s="17"/>
      <c r="AD39" s="16" t="s">
        <v>38</v>
      </c>
      <c r="AE39">
        <f>AE37+AE38</f>
        <v>84</v>
      </c>
      <c r="AG39" s="17"/>
    </row>
    <row r="40" spans="2:33" x14ac:dyDescent="0.35">
      <c r="E40" s="16"/>
      <c r="H40" s="17"/>
      <c r="J40" s="16"/>
      <c r="M40" s="17"/>
      <c r="O40" s="16"/>
      <c r="R40" s="17"/>
      <c r="T40" s="16"/>
      <c r="W40" s="17"/>
      <c r="Y40" s="16"/>
      <c r="AB40" s="17"/>
      <c r="AD40" s="16"/>
      <c r="AG40" s="17"/>
    </row>
    <row r="41" spans="2:33" x14ac:dyDescent="0.35">
      <c r="E41" s="16" t="s">
        <v>39</v>
      </c>
      <c r="F41">
        <f>Sheet1!N31</f>
        <v>0</v>
      </c>
      <c r="H41" s="17"/>
      <c r="J41" s="16" t="s">
        <v>48</v>
      </c>
      <c r="K41">
        <f>Sheet1!N33</f>
        <v>0.95900950044020505</v>
      </c>
      <c r="M41" s="17"/>
      <c r="O41" s="16" t="s">
        <v>55</v>
      </c>
      <c r="P41">
        <f>Sheet1!N34</f>
        <v>0</v>
      </c>
      <c r="R41" s="17"/>
      <c r="T41" s="16" t="s">
        <v>55</v>
      </c>
      <c r="U41">
        <f>Sheet1!N35</f>
        <v>0</v>
      </c>
      <c r="W41" s="17"/>
      <c r="Y41" s="16" t="s">
        <v>55</v>
      </c>
      <c r="Z41">
        <f>Sheet1!N36</f>
        <v>0</v>
      </c>
      <c r="AB41" s="17"/>
      <c r="AD41" s="16" t="s">
        <v>55</v>
      </c>
      <c r="AE41">
        <f>Sheet1!N37</f>
        <v>0</v>
      </c>
      <c r="AG41" s="17"/>
    </row>
    <row r="42" spans="2:33" x14ac:dyDescent="0.35">
      <c r="E42" s="16" t="s">
        <v>40</v>
      </c>
      <c r="F42">
        <v>14.6</v>
      </c>
      <c r="G42" t="s">
        <v>41</v>
      </c>
      <c r="H42" s="17"/>
      <c r="J42" s="16" t="s">
        <v>40</v>
      </c>
      <c r="K42">
        <v>14.6</v>
      </c>
      <c r="L42" t="s">
        <v>41</v>
      </c>
      <c r="M42" s="17"/>
      <c r="O42" s="16" t="s">
        <v>40</v>
      </c>
      <c r="P42">
        <v>14.6</v>
      </c>
      <c r="Q42" t="s">
        <v>41</v>
      </c>
      <c r="R42" s="17"/>
      <c r="T42" s="16" t="s">
        <v>40</v>
      </c>
      <c r="U42">
        <v>14.6</v>
      </c>
      <c r="V42" t="s">
        <v>41</v>
      </c>
      <c r="W42" s="17"/>
      <c r="Y42" s="16" t="s">
        <v>40</v>
      </c>
      <c r="Z42">
        <v>14.6</v>
      </c>
      <c r="AA42" t="s">
        <v>41</v>
      </c>
      <c r="AB42" s="17"/>
      <c r="AD42" s="16" t="s">
        <v>40</v>
      </c>
      <c r="AE42">
        <v>14.6</v>
      </c>
      <c r="AF42" t="s">
        <v>41</v>
      </c>
      <c r="AG42" s="17"/>
    </row>
    <row r="43" spans="2:33" x14ac:dyDescent="0.35">
      <c r="E43" s="18" t="s">
        <v>38</v>
      </c>
      <c r="F43" s="19">
        <f>F41+F42</f>
        <v>14.6</v>
      </c>
      <c r="G43" s="19"/>
      <c r="H43" s="20"/>
      <c r="J43" s="18" t="s">
        <v>38</v>
      </c>
      <c r="K43" s="19">
        <f>K41+K42</f>
        <v>15.559009500440204</v>
      </c>
      <c r="L43" s="19"/>
      <c r="M43" s="20"/>
      <c r="O43" s="18" t="s">
        <v>38</v>
      </c>
      <c r="P43" s="19">
        <f>P41+P42</f>
        <v>14.6</v>
      </c>
      <c r="Q43" s="19"/>
      <c r="R43" s="20"/>
      <c r="T43" s="18" t="s">
        <v>38</v>
      </c>
      <c r="U43" s="19">
        <f>U41+U42</f>
        <v>14.6</v>
      </c>
      <c r="V43" s="19"/>
      <c r="W43" s="20"/>
      <c r="Y43" s="18" t="s">
        <v>38</v>
      </c>
      <c r="Z43" s="19">
        <f>Z41+Z42</f>
        <v>14.6</v>
      </c>
      <c r="AA43" s="19"/>
      <c r="AB43" s="20"/>
      <c r="AD43" s="18" t="s">
        <v>38</v>
      </c>
      <c r="AE43" s="19">
        <f>AE41+AE42</f>
        <v>14.6</v>
      </c>
      <c r="AF43" s="19"/>
      <c r="AG43" s="20"/>
    </row>
    <row r="45" spans="2:33" x14ac:dyDescent="0.35">
      <c r="E45" t="s">
        <v>42</v>
      </c>
      <c r="F45" s="10">
        <v>1.4308E-2</v>
      </c>
      <c r="G45">
        <v>83</v>
      </c>
      <c r="L45" s="10"/>
    </row>
    <row r="46" spans="2:33" x14ac:dyDescent="0.35">
      <c r="E46" t="s">
        <v>43</v>
      </c>
      <c r="F46" s="10">
        <v>1.1504E-2</v>
      </c>
      <c r="G46">
        <v>17</v>
      </c>
    </row>
    <row r="47" spans="2:33" x14ac:dyDescent="0.35">
      <c r="E47" t="s">
        <v>38</v>
      </c>
      <c r="F47" s="10">
        <v>2.5812000000000002E-2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252AF-B3E5-4F96-A836-516AA4142A39}">
  <dimension ref="A1:F11"/>
  <sheetViews>
    <sheetView workbookViewId="0">
      <selection activeCell="F9" sqref="F9"/>
    </sheetView>
  </sheetViews>
  <sheetFormatPr defaultRowHeight="14.5" x14ac:dyDescent="0.35"/>
  <cols>
    <col min="3" max="3" width="57.453125" customWidth="1"/>
  </cols>
  <sheetData>
    <row r="1" spans="1:6" x14ac:dyDescent="0.35">
      <c r="A1" t="s">
        <v>137</v>
      </c>
    </row>
    <row r="5" spans="1:6" x14ac:dyDescent="0.35">
      <c r="D5" t="s">
        <v>166</v>
      </c>
      <c r="F5" t="s">
        <v>167</v>
      </c>
    </row>
    <row r="6" spans="1:6" x14ac:dyDescent="0.35">
      <c r="B6" s="10" t="s">
        <v>62</v>
      </c>
      <c r="C6" s="10" t="s">
        <v>83</v>
      </c>
      <c r="D6" s="10">
        <v>1.6317E-3</v>
      </c>
      <c r="E6" t="s">
        <v>30</v>
      </c>
      <c r="F6">
        <f>Sheet1!AB27</f>
        <v>1.1956220225809102E-2</v>
      </c>
    </row>
    <row r="7" spans="1:6" x14ac:dyDescent="0.35">
      <c r="D7" t="s">
        <v>135</v>
      </c>
      <c r="E7" t="s">
        <v>51</v>
      </c>
      <c r="F7">
        <f>Sheet1!AB28</f>
        <v>1.2321192079309392E-2</v>
      </c>
    </row>
    <row r="8" spans="1:6" x14ac:dyDescent="0.35">
      <c r="E8" t="s">
        <v>52</v>
      </c>
      <c r="F8">
        <f>Sheet1!AB29</f>
        <v>1.2903332505830808E-2</v>
      </c>
    </row>
    <row r="9" spans="1:6" x14ac:dyDescent="0.35">
      <c r="E9" t="s">
        <v>56</v>
      </c>
      <c r="F9">
        <f>Sheet1!AB30</f>
        <v>1.3178646779887613E-2</v>
      </c>
    </row>
    <row r="10" spans="1:6" x14ac:dyDescent="0.35">
      <c r="E10" t="s">
        <v>57</v>
      </c>
      <c r="F10">
        <f>Sheet1!AB31</f>
        <v>1.3728188780704946E-2</v>
      </c>
    </row>
    <row r="11" spans="1:6" x14ac:dyDescent="0.35">
      <c r="E11" t="s">
        <v>58</v>
      </c>
      <c r="F11">
        <f>Sheet1!AB32</f>
        <v>1.396475084473313E-2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B6DFF-CB9F-4380-A1EA-82FE38A6E9E7}">
  <dimension ref="A1:L16"/>
  <sheetViews>
    <sheetView topLeftCell="C1" workbookViewId="0">
      <selection activeCell="I12" sqref="I12"/>
    </sheetView>
  </sheetViews>
  <sheetFormatPr defaultRowHeight="14.5" x14ac:dyDescent="0.35"/>
  <cols>
    <col min="3" max="3" width="46.90625" customWidth="1"/>
  </cols>
  <sheetData>
    <row r="1" spans="1:12" x14ac:dyDescent="0.35">
      <c r="A1" t="s">
        <v>137</v>
      </c>
    </row>
    <row r="3" spans="1:12" x14ac:dyDescent="0.35">
      <c r="D3">
        <f>Sheet1!AA27</f>
        <v>7.6617411242939956E-2</v>
      </c>
      <c r="E3" t="s">
        <v>30</v>
      </c>
    </row>
    <row r="4" spans="1:12" ht="15.5" x14ac:dyDescent="0.35">
      <c r="D4">
        <f>Sheet1!AA28</f>
        <v>7.8956210467411206E-2</v>
      </c>
      <c r="E4" t="s">
        <v>51</v>
      </c>
      <c r="J4" s="6"/>
    </row>
    <row r="5" spans="1:12" ht="15.5" x14ac:dyDescent="0.35">
      <c r="D5">
        <f>Sheet1!AA29</f>
        <v>8.255499470567261E-2</v>
      </c>
      <c r="E5" t="s">
        <v>52</v>
      </c>
      <c r="J5" s="6"/>
    </row>
    <row r="6" spans="1:12" ht="15.5" x14ac:dyDescent="0.35">
      <c r="D6">
        <f>Sheet1!AA30</f>
        <v>8.4450920181320624E-2</v>
      </c>
      <c r="E6" t="s">
        <v>56</v>
      </c>
      <c r="J6" s="6"/>
    </row>
    <row r="7" spans="1:12" ht="15.5" x14ac:dyDescent="0.35">
      <c r="D7">
        <f>Sheet1!AA31</f>
        <v>8.7832391484714292E-2</v>
      </c>
      <c r="E7" t="s">
        <v>57</v>
      </c>
      <c r="J7" s="6"/>
    </row>
    <row r="8" spans="1:12" ht="15.5" x14ac:dyDescent="0.35">
      <c r="D8">
        <f>Sheet1!AA32</f>
        <v>8.9345905914772178E-2</v>
      </c>
      <c r="E8" t="s">
        <v>58</v>
      </c>
      <c r="J8" s="6"/>
    </row>
    <row r="9" spans="1:12" ht="15.5" x14ac:dyDescent="0.35">
      <c r="J9" s="6"/>
    </row>
    <row r="12" spans="1:12" x14ac:dyDescent="0.35">
      <c r="G12" t="s">
        <v>30</v>
      </c>
      <c r="H12" t="s">
        <v>51</v>
      </c>
      <c r="I12" t="s">
        <v>52</v>
      </c>
      <c r="J12" t="s">
        <v>56</v>
      </c>
      <c r="K12" t="s">
        <v>57</v>
      </c>
      <c r="L12" t="s">
        <v>58</v>
      </c>
    </row>
    <row r="13" spans="1:12" x14ac:dyDescent="0.35">
      <c r="B13" t="s">
        <v>62</v>
      </c>
      <c r="C13" t="s">
        <v>75</v>
      </c>
      <c r="D13">
        <v>1.6962000000000001E-2</v>
      </c>
      <c r="E13">
        <f>D13*100/D15</f>
        <v>15.999622694901667</v>
      </c>
      <c r="G13">
        <f>E13*D3/100</f>
        <v>1.2258496717471564E-2</v>
      </c>
      <c r="H13">
        <f>E13*D4/100</f>
        <v>1.2632695768978248E-2</v>
      </c>
      <c r="I13">
        <f>E13*D5/100</f>
        <v>1.3208487668703665E-2</v>
      </c>
      <c r="J13">
        <f>E13*D6/100</f>
        <v>1.3511828591383867E-2</v>
      </c>
      <c r="K13">
        <f>E13*D7/100</f>
        <v>1.4052851241463226E-2</v>
      </c>
      <c r="L13">
        <f>E13*D8/100</f>
        <v>1.429500783970538E-2</v>
      </c>
    </row>
    <row r="14" spans="1:12" x14ac:dyDescent="0.35">
      <c r="B14" t="s">
        <v>62</v>
      </c>
      <c r="C14" t="s">
        <v>76</v>
      </c>
      <c r="D14">
        <v>8.9052999999999993E-2</v>
      </c>
      <c r="E14">
        <f>D14*100/D15</f>
        <v>84.000377305098326</v>
      </c>
      <c r="G14">
        <f>E14*D3/100</f>
        <v>6.4358914525468394E-2</v>
      </c>
      <c r="H14">
        <f>E14*D4/100</f>
        <v>6.632351469843295E-2</v>
      </c>
      <c r="I14">
        <f>E14*D5/100</f>
        <v>6.9346507036968943E-2</v>
      </c>
      <c r="J14">
        <f>E14*D6/100</f>
        <v>7.0939091589936748E-2</v>
      </c>
      <c r="K14">
        <f>E14*D7/100</f>
        <v>7.3779540243251063E-2</v>
      </c>
      <c r="L14">
        <f>E14*D8/100</f>
        <v>7.5050898075066791E-2</v>
      </c>
    </row>
    <row r="15" spans="1:12" x14ac:dyDescent="0.35">
      <c r="D15">
        <f>SUM(D13:D14)</f>
        <v>0.106015</v>
      </c>
    </row>
    <row r="16" spans="1:12" x14ac:dyDescent="0.35">
      <c r="B16" t="s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75C6-F45A-4EE7-AAD8-2600A3285568}">
  <dimension ref="A1:L33"/>
  <sheetViews>
    <sheetView topLeftCell="C8" workbookViewId="0">
      <selection activeCell="I26" sqref="I26"/>
    </sheetView>
  </sheetViews>
  <sheetFormatPr defaultRowHeight="14.5" x14ac:dyDescent="0.35"/>
  <cols>
    <col min="3" max="3" width="57.36328125" customWidth="1"/>
    <col min="7" max="7" width="9.54296875" customWidth="1"/>
    <col min="8" max="8" width="8.90625" bestFit="1" customWidth="1"/>
  </cols>
  <sheetData>
    <row r="1" spans="1:12" x14ac:dyDescent="0.35">
      <c r="A1" t="s">
        <v>137</v>
      </c>
    </row>
    <row r="2" spans="1:12" x14ac:dyDescent="0.35">
      <c r="D2" t="s">
        <v>72</v>
      </c>
      <c r="F2" t="s">
        <v>73</v>
      </c>
    </row>
    <row r="3" spans="1:12" x14ac:dyDescent="0.35">
      <c r="D3">
        <f>Sheet1!Y27</f>
        <v>0.18214935507278562</v>
      </c>
      <c r="E3" t="s">
        <v>30</v>
      </c>
      <c r="F3">
        <f>Sheet1!Z27</f>
        <v>0.27267502249676884</v>
      </c>
    </row>
    <row r="4" spans="1:12" x14ac:dyDescent="0.35">
      <c r="A4" s="9"/>
      <c r="B4" s="9"/>
      <c r="C4" s="9"/>
      <c r="D4">
        <f>Sheet1!Y28</f>
        <v>0.14923729589939028</v>
      </c>
      <c r="E4" t="s">
        <v>51</v>
      </c>
      <c r="F4">
        <f>Sheet1!Z28</f>
        <v>0.20417975445712705</v>
      </c>
    </row>
    <row r="5" spans="1:12" x14ac:dyDescent="0.35">
      <c r="A5" s="9"/>
      <c r="B5" s="9"/>
      <c r="C5" s="9"/>
      <c r="D5">
        <f>Sheet1!Y29</f>
        <v>0.19131165439767514</v>
      </c>
      <c r="E5" t="s">
        <v>52</v>
      </c>
      <c r="F5">
        <f>Sheet1!Z29</f>
        <v>0.28347831515360944</v>
      </c>
    </row>
    <row r="6" spans="1:12" x14ac:dyDescent="0.35">
      <c r="D6">
        <f>Sheet1!Y30</f>
        <v>0.15774033339600174</v>
      </c>
      <c r="E6" t="s">
        <v>56</v>
      </c>
      <c r="F6">
        <f>Sheet1!Z30</f>
        <v>0.21543053205489748</v>
      </c>
    </row>
    <row r="7" spans="1:12" x14ac:dyDescent="0.35">
      <c r="D7">
        <f>Sheet1!Y31</f>
        <v>0.14540673422828299</v>
      </c>
      <c r="E7" t="s">
        <v>57</v>
      </c>
      <c r="F7">
        <f>Sheet1!Z31</f>
        <v>0.18084787465193961</v>
      </c>
    </row>
    <row r="8" spans="1:12" x14ac:dyDescent="0.35">
      <c r="D8">
        <f>Sheet1!Y32</f>
        <v>0.12354529573860842</v>
      </c>
      <c r="E8" t="s">
        <v>58</v>
      </c>
      <c r="F8">
        <f>Sheet1!Z32</f>
        <v>0.11100551946986846</v>
      </c>
    </row>
    <row r="12" spans="1:12" x14ac:dyDescent="0.35">
      <c r="B12" s="9"/>
      <c r="C12" s="9"/>
      <c r="D12" s="10" t="s">
        <v>166</v>
      </c>
      <c r="G12" t="s">
        <v>30</v>
      </c>
      <c r="H12" t="s">
        <v>51</v>
      </c>
      <c r="I12" t="s">
        <v>52</v>
      </c>
      <c r="J12" t="s">
        <v>56</v>
      </c>
      <c r="K12" t="s">
        <v>57</v>
      </c>
      <c r="L12" t="s">
        <v>58</v>
      </c>
    </row>
    <row r="13" spans="1:12" x14ac:dyDescent="0.35">
      <c r="B13" s="9" t="s">
        <v>62</v>
      </c>
      <c r="C13" s="9" t="s">
        <v>64</v>
      </c>
      <c r="D13" s="10">
        <v>5.8909000000000003E-2</v>
      </c>
      <c r="E13">
        <f>D13*100/$D$16</f>
        <v>93.597926606285895</v>
      </c>
      <c r="G13">
        <f>$D$3*E13/100</f>
        <v>0.17048801967484897</v>
      </c>
      <c r="H13">
        <f>$D$4*E13/100</f>
        <v>0.13968301468511701</v>
      </c>
      <c r="I13">
        <f>$D$5*E13/100</f>
        <v>0.17906374187240728</v>
      </c>
      <c r="J13">
        <f>$D$6*E13/100</f>
        <v>0.14764168148050039</v>
      </c>
      <c r="K13">
        <f>$D$7*E13/100</f>
        <v>0.13609768838358549</v>
      </c>
      <c r="L13">
        <f>$D$8*E13/100</f>
        <v>0.11563583523094158</v>
      </c>
    </row>
    <row r="14" spans="1:12" x14ac:dyDescent="0.35">
      <c r="A14" s="8" t="s">
        <v>0</v>
      </c>
      <c r="B14" s="9" t="s">
        <v>62</v>
      </c>
      <c r="C14" s="9" t="s">
        <v>65</v>
      </c>
      <c r="D14" s="10">
        <v>3.7859999999999999E-3</v>
      </c>
      <c r="E14">
        <f>D14*100/$D$16</f>
        <v>6.0154093624301614</v>
      </c>
      <c r="G14">
        <f>$D$3*E14/100</f>
        <v>1.0957029358654504E-2</v>
      </c>
      <c r="H14">
        <f>$D$4*E14/100</f>
        <v>8.9772342697695268E-3</v>
      </c>
      <c r="I14">
        <f>$D$5*E14/100</f>
        <v>1.1508179170057784E-2</v>
      </c>
      <c r="J14">
        <f>$D$6*E14/100</f>
        <v>9.4887267834316384E-3</v>
      </c>
      <c r="K14">
        <f>$D$7*E14/100</f>
        <v>8.7468103043720768E-3</v>
      </c>
      <c r="L14">
        <f>$D$8*E14/100</f>
        <v>7.4317552867022825E-3</v>
      </c>
    </row>
    <row r="15" spans="1:12" x14ac:dyDescent="0.35">
      <c r="B15" s="9" t="s">
        <v>62</v>
      </c>
      <c r="C15" s="9" t="s">
        <v>66</v>
      </c>
      <c r="D15" s="10">
        <v>2.4336E-4</v>
      </c>
      <c r="E15">
        <f>D15*100/$D$16</f>
        <v>0.38666403128394194</v>
      </c>
      <c r="G15">
        <f>$D$3*E15/100</f>
        <v>7.0430603928213432E-4</v>
      </c>
      <c r="H15">
        <f>$D$4*E15/100</f>
        <v>5.770469445037274E-4</v>
      </c>
      <c r="I15">
        <f>$D$5*E15/100</f>
        <v>7.3973335521005355E-4</v>
      </c>
      <c r="J15">
        <f>$D$6*E15/100</f>
        <v>6.0992513206971051E-4</v>
      </c>
      <c r="K15">
        <f>$D$7*E15/100</f>
        <v>5.622355403254065E-4</v>
      </c>
      <c r="L15">
        <f>$D$8*E15/100</f>
        <v>4.7770522096457144E-4</v>
      </c>
    </row>
    <row r="16" spans="1:12" x14ac:dyDescent="0.35">
      <c r="D16" s="10">
        <f>D13+D14+D15</f>
        <v>6.2938359999999999E-2</v>
      </c>
      <c r="G16">
        <f t="shared" ref="G16:L16" si="0">SUM(G13:G15)</f>
        <v>0.1821493550727856</v>
      </c>
      <c r="H16">
        <f t="shared" si="0"/>
        <v>0.14923729589939028</v>
      </c>
      <c r="I16">
        <f t="shared" si="0"/>
        <v>0.19131165439767511</v>
      </c>
      <c r="J16">
        <f t="shared" si="0"/>
        <v>0.15774033339600171</v>
      </c>
      <c r="K16">
        <f t="shared" si="0"/>
        <v>0.14540673422828299</v>
      </c>
      <c r="L16">
        <f t="shared" si="0"/>
        <v>0.12354529573860844</v>
      </c>
    </row>
    <row r="17" spans="1:12" x14ac:dyDescent="0.35">
      <c r="E17" t="s">
        <v>71</v>
      </c>
      <c r="F17">
        <v>74</v>
      </c>
    </row>
    <row r="18" spans="1:12" x14ac:dyDescent="0.35">
      <c r="A18" s="8" t="s">
        <v>0</v>
      </c>
      <c r="B18" s="9"/>
      <c r="C18" s="9"/>
      <c r="D18" s="10"/>
      <c r="E18" t="s">
        <v>69</v>
      </c>
      <c r="F18" s="9">
        <v>20.8</v>
      </c>
      <c r="G18" s="9"/>
      <c r="H18" s="21"/>
    </row>
    <row r="19" spans="1:12" x14ac:dyDescent="0.35">
      <c r="B19" s="9"/>
      <c r="C19" s="9"/>
      <c r="D19" s="10"/>
      <c r="E19" s="9"/>
      <c r="F19" s="9"/>
      <c r="G19" s="9"/>
      <c r="H19" s="21"/>
    </row>
    <row r="20" spans="1:12" x14ac:dyDescent="0.35">
      <c r="B20" s="9"/>
      <c r="C20" s="9"/>
      <c r="D20" s="10"/>
    </row>
    <row r="21" spans="1:12" x14ac:dyDescent="0.35">
      <c r="B21" s="9" t="s">
        <v>62</v>
      </c>
      <c r="C21" s="9" t="s">
        <v>63</v>
      </c>
      <c r="D21" s="10">
        <v>3.5905999999999998E-5</v>
      </c>
      <c r="G21">
        <v>26</v>
      </c>
      <c r="H21">
        <v>19</v>
      </c>
      <c r="I21">
        <v>25</v>
      </c>
      <c r="J21">
        <v>19</v>
      </c>
      <c r="K21">
        <v>16</v>
      </c>
      <c r="L21">
        <v>11</v>
      </c>
    </row>
    <row r="22" spans="1:12" x14ac:dyDescent="0.35">
      <c r="B22" s="9" t="s">
        <v>62</v>
      </c>
      <c r="C22" s="22" t="s">
        <v>74</v>
      </c>
      <c r="G22">
        <v>39</v>
      </c>
      <c r="H22">
        <v>28</v>
      </c>
      <c r="I22">
        <v>38</v>
      </c>
      <c r="J22">
        <v>28</v>
      </c>
      <c r="K22">
        <v>23</v>
      </c>
      <c r="L22">
        <v>14</v>
      </c>
    </row>
    <row r="23" spans="1:12" x14ac:dyDescent="0.35">
      <c r="G23">
        <f t="shared" ref="G23:L23" si="1">SUM(G21:G22)</f>
        <v>65</v>
      </c>
      <c r="H23">
        <f t="shared" si="1"/>
        <v>47</v>
      </c>
      <c r="I23">
        <f t="shared" si="1"/>
        <v>63</v>
      </c>
      <c r="J23">
        <f t="shared" si="1"/>
        <v>47</v>
      </c>
      <c r="K23">
        <f t="shared" si="1"/>
        <v>39</v>
      </c>
      <c r="L23">
        <f t="shared" si="1"/>
        <v>25</v>
      </c>
    </row>
    <row r="24" spans="1:12" x14ac:dyDescent="0.35">
      <c r="F24" t="s">
        <v>44</v>
      </c>
      <c r="G24">
        <f t="shared" ref="G24:L24" si="2">G21*100/G23</f>
        <v>40</v>
      </c>
      <c r="H24">
        <f t="shared" si="2"/>
        <v>40.425531914893618</v>
      </c>
      <c r="I24">
        <f t="shared" si="2"/>
        <v>39.682539682539684</v>
      </c>
      <c r="J24">
        <f t="shared" si="2"/>
        <v>40.425531914893618</v>
      </c>
      <c r="K24">
        <f t="shared" si="2"/>
        <v>41.025641025641029</v>
      </c>
      <c r="L24">
        <f t="shared" si="2"/>
        <v>44</v>
      </c>
    </row>
    <row r="25" spans="1:12" x14ac:dyDescent="0.35">
      <c r="F25" t="s">
        <v>44</v>
      </c>
      <c r="G25">
        <f t="shared" ref="G25:L25" si="3">G22*100/G23</f>
        <v>60</v>
      </c>
      <c r="H25">
        <f t="shared" si="3"/>
        <v>59.574468085106382</v>
      </c>
      <c r="I25">
        <f t="shared" si="3"/>
        <v>60.317460317460316</v>
      </c>
      <c r="J25">
        <f t="shared" si="3"/>
        <v>59.574468085106382</v>
      </c>
      <c r="K25">
        <f t="shared" si="3"/>
        <v>58.974358974358971</v>
      </c>
      <c r="L25">
        <f t="shared" si="3"/>
        <v>56</v>
      </c>
    </row>
    <row r="26" spans="1:12" x14ac:dyDescent="0.35">
      <c r="F26" t="s">
        <v>84</v>
      </c>
      <c r="G26">
        <f>F3*G24/100</f>
        <v>0.10907000899870754</v>
      </c>
      <c r="H26">
        <f>F4*H24/100</f>
        <v>8.2540751801817316E-2</v>
      </c>
      <c r="I26">
        <f>F5*I24/100</f>
        <v>0.11249139490222597</v>
      </c>
      <c r="J26">
        <f>F6*J24/100</f>
        <v>8.7088938490277712E-2</v>
      </c>
      <c r="K26">
        <f>F7*K24/100</f>
        <v>7.4193999857205997E-2</v>
      </c>
      <c r="L26">
        <f>F8*L24/100</f>
        <v>4.8842428566742119E-2</v>
      </c>
    </row>
    <row r="27" spans="1:12" x14ac:dyDescent="0.35">
      <c r="F27" t="s">
        <v>85</v>
      </c>
      <c r="G27">
        <f>F3*G25/100</f>
        <v>0.16360501349806131</v>
      </c>
      <c r="H27">
        <f>F4*H25/100</f>
        <v>0.12163900265530973</v>
      </c>
      <c r="I27">
        <f>F5*I25/100</f>
        <v>0.17098692025138348</v>
      </c>
      <c r="J27">
        <f>F6*J25/100</f>
        <v>0.12834159356461977</v>
      </c>
      <c r="K27">
        <f>F7*K25/100</f>
        <v>0.10665387479473361</v>
      </c>
      <c r="L27">
        <f>F8*L25/100</f>
        <v>6.2163090903126335E-2</v>
      </c>
    </row>
    <row r="29" spans="1:12" x14ac:dyDescent="0.35">
      <c r="B29" s="8" t="s">
        <v>0</v>
      </c>
      <c r="C29" t="s">
        <v>64</v>
      </c>
      <c r="D29">
        <v>0.1807082690070928</v>
      </c>
    </row>
    <row r="30" spans="1:12" x14ac:dyDescent="0.35">
      <c r="C30" t="s">
        <v>65</v>
      </c>
      <c r="D30">
        <v>1.161387065577167E-2</v>
      </c>
    </row>
    <row r="31" spans="1:12" x14ac:dyDescent="0.35">
      <c r="C31" t="s">
        <v>66</v>
      </c>
      <c r="D31">
        <v>7.4652709001283516E-4</v>
      </c>
    </row>
    <row r="32" spans="1:12" x14ac:dyDescent="0.35">
      <c r="C32" t="s">
        <v>63</v>
      </c>
      <c r="D32">
        <v>0.11560843139790508</v>
      </c>
    </row>
    <row r="33" spans="3:4" x14ac:dyDescent="0.35">
      <c r="C33" t="s">
        <v>74</v>
      </c>
      <c r="D33">
        <v>0.17341264709685764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07B95-E83E-4988-8886-3D2ED0E3B9EC}">
  <dimension ref="A1:S31"/>
  <sheetViews>
    <sheetView topLeftCell="A6" workbookViewId="0">
      <selection activeCell="E10" sqref="E10:E15"/>
    </sheetView>
  </sheetViews>
  <sheetFormatPr defaultRowHeight="14.5" x14ac:dyDescent="0.35"/>
  <sheetData>
    <row r="1" spans="1:19" x14ac:dyDescent="0.35">
      <c r="A1" t="s">
        <v>137</v>
      </c>
      <c r="N1" s="38">
        <v>1</v>
      </c>
    </row>
    <row r="2" spans="1:19" x14ac:dyDescent="0.35">
      <c r="G2" t="s">
        <v>168</v>
      </c>
      <c r="H2" t="s">
        <v>169</v>
      </c>
      <c r="I2" t="s">
        <v>170</v>
      </c>
      <c r="J2" t="s">
        <v>130</v>
      </c>
      <c r="K2" t="s">
        <v>12</v>
      </c>
      <c r="L2" t="s">
        <v>171</v>
      </c>
      <c r="N2" t="s">
        <v>168</v>
      </c>
      <c r="O2" t="s">
        <v>169</v>
      </c>
      <c r="P2" t="s">
        <v>170</v>
      </c>
      <c r="Q2" t="s">
        <v>130</v>
      </c>
      <c r="R2" t="s">
        <v>12</v>
      </c>
      <c r="S2" t="s">
        <v>171</v>
      </c>
    </row>
    <row r="3" spans="1:19" x14ac:dyDescent="0.35">
      <c r="D3" t="s">
        <v>30</v>
      </c>
      <c r="E3">
        <f>Sheet1!AI27</f>
        <v>5.6556622385900313E-2</v>
      </c>
      <c r="G3">
        <f>E3*$E$10</f>
        <v>3.4221356003300302E-3</v>
      </c>
      <c r="H3">
        <f>E3*$E$11</f>
        <v>2.5644019192626413E-3</v>
      </c>
      <c r="I3">
        <f>E3*$E$12</f>
        <v>8.9296491020969017E-3</v>
      </c>
      <c r="J3">
        <f>E3*$E$13</f>
        <v>1.6575682582777796E-2</v>
      </c>
      <c r="K3">
        <f>E3*$E$14</f>
        <v>1.3829639537584827E-2</v>
      </c>
      <c r="L3">
        <f>E3*$E$15</f>
        <v>1.123511364384812E-2</v>
      </c>
      <c r="N3">
        <f>G3*$N$1</f>
        <v>3.4221356003300302E-3</v>
      </c>
      <c r="O3">
        <f t="shared" ref="O3:S3" si="0">H3*$N$1</f>
        <v>2.5644019192626413E-3</v>
      </c>
      <c r="P3">
        <f t="shared" si="0"/>
        <v>8.9296491020969017E-3</v>
      </c>
      <c r="Q3">
        <f t="shared" si="0"/>
        <v>1.6575682582777796E-2</v>
      </c>
      <c r="R3">
        <f t="shared" si="0"/>
        <v>1.3829639537584827E-2</v>
      </c>
      <c r="S3">
        <f t="shared" si="0"/>
        <v>1.123511364384812E-2</v>
      </c>
    </row>
    <row r="4" spans="1:19" x14ac:dyDescent="0.35">
      <c r="D4" t="s">
        <v>51</v>
      </c>
      <c r="E4">
        <f>Sheet1!AI28</f>
        <v>5.0388124744654775E-2</v>
      </c>
      <c r="G4">
        <f t="shared" ref="G4:G8" si="1">E4*$E$10</f>
        <v>3.0488913278092443E-3</v>
      </c>
      <c r="H4">
        <f t="shared" ref="H4:H8" si="2">E4*$E$11</f>
        <v>2.2847086398046952E-3</v>
      </c>
      <c r="I4">
        <f t="shared" ref="I4:I8" si="3">E4*$E$12</f>
        <v>7.9557132993611415E-3</v>
      </c>
      <c r="J4">
        <f t="shared" ref="J4:J8" si="4">E4*$E$13</f>
        <v>1.4767811910865288E-2</v>
      </c>
      <c r="K4">
        <f t="shared" ref="K4:K8" si="5">E4*$E$14</f>
        <v>1.2321273315062043E-2</v>
      </c>
      <c r="L4">
        <f t="shared" ref="L4:L8" si="6">E4*$E$15</f>
        <v>1.0009726251752367E-2</v>
      </c>
      <c r="N4">
        <f t="shared" ref="N4:N8" si="7">G4*$N$1</f>
        <v>3.0488913278092443E-3</v>
      </c>
      <c r="O4">
        <f t="shared" ref="O4:O8" si="8">H4*$N$1</f>
        <v>2.2847086398046952E-3</v>
      </c>
      <c r="P4">
        <f t="shared" ref="P4:P8" si="9">I4*$N$1</f>
        <v>7.9557132993611415E-3</v>
      </c>
      <c r="Q4">
        <f t="shared" ref="Q4:Q8" si="10">J4*$N$1</f>
        <v>1.4767811910865288E-2</v>
      </c>
      <c r="R4">
        <f t="shared" ref="R4:R8" si="11">K4*$N$1</f>
        <v>1.2321273315062043E-2</v>
      </c>
      <c r="S4">
        <f t="shared" ref="S4:S8" si="12">L4*$N$1</f>
        <v>1.0009726251752367E-2</v>
      </c>
    </row>
    <row r="5" spans="1:19" x14ac:dyDescent="0.35">
      <c r="D5" t="s">
        <v>52</v>
      </c>
      <c r="E5">
        <f>Sheet1!AI29</f>
        <v>4.3705061328069929E-2</v>
      </c>
      <c r="G5">
        <f t="shared" si="1"/>
        <v>2.6445116411810718E-3</v>
      </c>
      <c r="H5">
        <f t="shared" si="2"/>
        <v>1.9816838139035523E-3</v>
      </c>
      <c r="I5">
        <f t="shared" si="3"/>
        <v>6.9005333978817132E-3</v>
      </c>
      <c r="J5">
        <f t="shared" si="4"/>
        <v>1.2809131685620761E-2</v>
      </c>
      <c r="K5">
        <f t="shared" si="5"/>
        <v>1.0687081700372723E-2</v>
      </c>
      <c r="L5">
        <f t="shared" si="6"/>
        <v>8.6821190891101102E-3</v>
      </c>
      <c r="N5">
        <f t="shared" si="7"/>
        <v>2.6445116411810718E-3</v>
      </c>
      <c r="O5">
        <f t="shared" si="8"/>
        <v>1.9816838139035523E-3</v>
      </c>
      <c r="P5">
        <f t="shared" si="9"/>
        <v>6.9005333978817132E-3</v>
      </c>
      <c r="Q5">
        <f t="shared" si="10"/>
        <v>1.2809131685620761E-2</v>
      </c>
      <c r="R5">
        <f t="shared" si="11"/>
        <v>1.0687081700372723E-2</v>
      </c>
      <c r="S5">
        <f t="shared" si="12"/>
        <v>8.6821190891101102E-3</v>
      </c>
    </row>
    <row r="6" spans="1:19" x14ac:dyDescent="0.35">
      <c r="D6" t="s">
        <v>56</v>
      </c>
      <c r="E6">
        <f>Sheet1!AI30</f>
        <v>4.6296296296296294E-2</v>
      </c>
      <c r="G6">
        <f t="shared" si="1"/>
        <v>2.8013024299428525E-3</v>
      </c>
      <c r="H6">
        <f t="shared" si="2"/>
        <v>2.099176118879614E-3</v>
      </c>
      <c r="I6">
        <f t="shared" si="3"/>
        <v>7.3096600046557627E-3</v>
      </c>
      <c r="J6">
        <f t="shared" si="4"/>
        <v>1.3568573931617093E-2</v>
      </c>
      <c r="K6">
        <f t="shared" si="5"/>
        <v>1.1320709453516088E-2</v>
      </c>
      <c r="L6">
        <f t="shared" si="6"/>
        <v>9.1968743576848876E-3</v>
      </c>
      <c r="N6">
        <f t="shared" si="7"/>
        <v>2.8013024299428525E-3</v>
      </c>
      <c r="O6">
        <f t="shared" si="8"/>
        <v>2.099176118879614E-3</v>
      </c>
      <c r="P6">
        <f t="shared" si="9"/>
        <v>7.3096600046557627E-3</v>
      </c>
      <c r="Q6">
        <f t="shared" si="10"/>
        <v>1.3568573931617093E-2</v>
      </c>
      <c r="R6">
        <f t="shared" si="11"/>
        <v>1.1320709453516088E-2</v>
      </c>
      <c r="S6">
        <f t="shared" si="12"/>
        <v>9.1968743576848876E-3</v>
      </c>
    </row>
    <row r="7" spans="1:19" x14ac:dyDescent="0.35">
      <c r="D7" t="s">
        <v>57</v>
      </c>
      <c r="E7">
        <f>Sheet1!AI31</f>
        <v>3.5804863493957929E-2</v>
      </c>
      <c r="G7">
        <f t="shared" si="1"/>
        <v>2.1664854239629642E-3</v>
      </c>
      <c r="H7">
        <f t="shared" si="2"/>
        <v>1.6234714307432373E-3</v>
      </c>
      <c r="I7">
        <f t="shared" si="3"/>
        <v>5.6531817789251797E-3</v>
      </c>
      <c r="J7">
        <f t="shared" si="4"/>
        <v>1.0493732248471284E-2</v>
      </c>
      <c r="K7">
        <f t="shared" si="5"/>
        <v>8.7552674633786954E-3</v>
      </c>
      <c r="L7">
        <f t="shared" si="6"/>
        <v>7.1127251484765725E-3</v>
      </c>
      <c r="N7">
        <f t="shared" si="7"/>
        <v>2.1664854239629642E-3</v>
      </c>
      <c r="O7">
        <f t="shared" si="8"/>
        <v>1.6234714307432373E-3</v>
      </c>
      <c r="P7">
        <f t="shared" si="9"/>
        <v>5.6531817789251797E-3</v>
      </c>
      <c r="Q7">
        <f t="shared" si="10"/>
        <v>1.0493732248471284E-2</v>
      </c>
      <c r="R7">
        <f t="shared" si="11"/>
        <v>8.7552674633786954E-3</v>
      </c>
      <c r="S7">
        <f t="shared" si="12"/>
        <v>7.1127251484765725E-3</v>
      </c>
    </row>
    <row r="8" spans="1:19" x14ac:dyDescent="0.35">
      <c r="D8" t="s">
        <v>58</v>
      </c>
      <c r="E8">
        <f>Sheet1!AI32</f>
        <v>3.4722222222222224E-2</v>
      </c>
      <c r="G8">
        <f t="shared" si="1"/>
        <v>2.1009768224571398E-3</v>
      </c>
      <c r="H8">
        <f t="shared" si="2"/>
        <v>1.5743820891597107E-3</v>
      </c>
      <c r="I8">
        <f t="shared" si="3"/>
        <v>5.4822450034918225E-3</v>
      </c>
      <c r="J8">
        <f t="shared" si="4"/>
        <v>1.0176430448712821E-2</v>
      </c>
      <c r="K8">
        <f t="shared" si="5"/>
        <v>8.4905320901370665E-3</v>
      </c>
      <c r="L8">
        <f t="shared" si="6"/>
        <v>6.897655768263667E-3</v>
      </c>
      <c r="N8">
        <f t="shared" si="7"/>
        <v>2.1009768224571398E-3</v>
      </c>
      <c r="O8">
        <f t="shared" si="8"/>
        <v>1.5743820891597107E-3</v>
      </c>
      <c r="P8">
        <f t="shared" si="9"/>
        <v>5.4822450034918225E-3</v>
      </c>
      <c r="Q8">
        <f t="shared" si="10"/>
        <v>1.0176430448712821E-2</v>
      </c>
      <c r="R8">
        <f t="shared" si="11"/>
        <v>8.4905320901370665E-3</v>
      </c>
      <c r="S8">
        <f t="shared" si="12"/>
        <v>6.897655768263667E-3</v>
      </c>
    </row>
    <row r="10" spans="1:19" x14ac:dyDescent="0.35">
      <c r="C10" t="s">
        <v>168</v>
      </c>
      <c r="D10">
        <v>1.7984376445437801E-3</v>
      </c>
      <c r="E10">
        <f>D10/$D$16</f>
        <v>6.050813248676562E-2</v>
      </c>
    </row>
    <row r="11" spans="1:19" x14ac:dyDescent="0.35">
      <c r="C11" t="s">
        <v>169</v>
      </c>
      <c r="D11">
        <v>1.3476721807568E-3</v>
      </c>
      <c r="E11">
        <f t="shared" ref="E11:E15" si="13">D11/$D$16</f>
        <v>4.5342204167799667E-2</v>
      </c>
    </row>
    <row r="12" spans="1:19" x14ac:dyDescent="0.35">
      <c r="C12" t="s">
        <v>170</v>
      </c>
      <c r="D12">
        <v>4.69280559666568E-3</v>
      </c>
      <c r="E12">
        <f t="shared" si="13"/>
        <v>0.15788865610056449</v>
      </c>
    </row>
    <row r="13" spans="1:19" x14ac:dyDescent="0.35">
      <c r="C13" t="s">
        <v>130</v>
      </c>
      <c r="D13">
        <v>8.7110316546198108E-3</v>
      </c>
      <c r="E13" s="36">
        <f t="shared" si="13"/>
        <v>0.29308119692292922</v>
      </c>
    </row>
    <row r="14" spans="1:19" x14ac:dyDescent="0.35">
      <c r="C14" t="s">
        <v>12</v>
      </c>
      <c r="D14">
        <v>7.26790146844706E-3</v>
      </c>
      <c r="E14" s="36">
        <f t="shared" si="13"/>
        <v>0.2445273241959475</v>
      </c>
    </row>
    <row r="15" spans="1:19" x14ac:dyDescent="0.35">
      <c r="C15" t="s">
        <v>171</v>
      </c>
      <c r="D15">
        <v>5.9043982114195797E-3</v>
      </c>
      <c r="E15">
        <f t="shared" si="13"/>
        <v>0.19865248612599359</v>
      </c>
    </row>
    <row r="16" spans="1:19" x14ac:dyDescent="0.35">
      <c r="D16">
        <f>SUM(D10:D15)</f>
        <v>2.9722246756452707E-2</v>
      </c>
      <c r="E16" t="s">
        <v>44</v>
      </c>
    </row>
    <row r="17" spans="1:7" x14ac:dyDescent="0.35">
      <c r="D17" t="s">
        <v>233</v>
      </c>
    </row>
    <row r="18" spans="1:7" x14ac:dyDescent="0.35">
      <c r="A18" t="s">
        <v>142</v>
      </c>
    </row>
    <row r="19" spans="1:7" x14ac:dyDescent="0.35">
      <c r="A19" t="s">
        <v>143</v>
      </c>
    </row>
    <row r="20" spans="1:7" x14ac:dyDescent="0.35">
      <c r="A20" t="s">
        <v>144</v>
      </c>
    </row>
    <row r="22" spans="1:7" x14ac:dyDescent="0.35">
      <c r="B22" t="s">
        <v>145</v>
      </c>
      <c r="C22" t="s">
        <v>146</v>
      </c>
      <c r="D22" t="s">
        <v>147</v>
      </c>
      <c r="E22" t="s">
        <v>149</v>
      </c>
      <c r="F22" t="s">
        <v>149</v>
      </c>
    </row>
    <row r="23" spans="1:7" x14ac:dyDescent="0.35">
      <c r="A23">
        <v>1990</v>
      </c>
      <c r="B23">
        <v>24026</v>
      </c>
      <c r="C23">
        <v>-187603</v>
      </c>
      <c r="D23" t="s">
        <v>148</v>
      </c>
      <c r="E23">
        <f t="shared" ref="E23:E27" si="14">B23*0.00027777777777778</f>
        <v>6.6738888888889427</v>
      </c>
      <c r="F23">
        <f t="shared" ref="F23:F27" si="15">C23*0.00027777777777778</f>
        <v>-52.111944444444859</v>
      </c>
    </row>
    <row r="24" spans="1:7" x14ac:dyDescent="0.35">
      <c r="A24">
        <v>1995</v>
      </c>
      <c r="B24">
        <v>10295</v>
      </c>
      <c r="C24">
        <v>-261723</v>
      </c>
      <c r="D24" t="s">
        <v>148</v>
      </c>
      <c r="E24">
        <f t="shared" si="14"/>
        <v>2.8597222222222451</v>
      </c>
      <c r="F24">
        <f t="shared" si="15"/>
        <v>-72.700833333333918</v>
      </c>
    </row>
    <row r="25" spans="1:7" x14ac:dyDescent="0.35">
      <c r="A25">
        <v>2000</v>
      </c>
      <c r="B25">
        <v>13302</v>
      </c>
      <c r="C25">
        <v>-263426</v>
      </c>
      <c r="D25" t="s">
        <v>148</v>
      </c>
      <c r="E25">
        <f t="shared" si="14"/>
        <v>3.6950000000000296</v>
      </c>
      <c r="F25">
        <f t="shared" si="15"/>
        <v>-73.173888888889479</v>
      </c>
    </row>
    <row r="26" spans="1:7" x14ac:dyDescent="0.35">
      <c r="A26">
        <v>2005</v>
      </c>
      <c r="B26">
        <v>29023</v>
      </c>
      <c r="C26">
        <v>-246203</v>
      </c>
      <c r="D26" t="s">
        <v>148</v>
      </c>
      <c r="E26">
        <f t="shared" si="14"/>
        <v>8.0619444444445083</v>
      </c>
      <c r="F26">
        <f t="shared" si="15"/>
        <v>-68.389722222222773</v>
      </c>
    </row>
    <row r="27" spans="1:7" x14ac:dyDescent="0.35">
      <c r="A27">
        <v>2010</v>
      </c>
      <c r="B27">
        <v>70110</v>
      </c>
      <c r="C27">
        <v>-180676</v>
      </c>
      <c r="D27" t="s">
        <v>148</v>
      </c>
      <c r="E27">
        <f t="shared" si="14"/>
        <v>19.475000000000154</v>
      </c>
      <c r="F27">
        <f t="shared" si="15"/>
        <v>-50.18777777777818</v>
      </c>
    </row>
    <row r="28" spans="1:7" x14ac:dyDescent="0.35">
      <c r="A28">
        <v>2015</v>
      </c>
      <c r="B28">
        <v>35859</v>
      </c>
      <c r="C28">
        <v>-266486</v>
      </c>
      <c r="D28" t="s">
        <v>148</v>
      </c>
      <c r="E28">
        <f t="shared" ref="E28:F31" si="16">B28*0.00027777777777778</f>
        <v>9.9608333333334134</v>
      </c>
      <c r="F28">
        <f t="shared" si="16"/>
        <v>-74.023888888889488</v>
      </c>
    </row>
    <row r="29" spans="1:7" x14ac:dyDescent="0.35">
      <c r="A29">
        <v>2019</v>
      </c>
      <c r="B29">
        <v>56274</v>
      </c>
      <c r="C29">
        <v>-263875</v>
      </c>
      <c r="D29" t="s">
        <v>148</v>
      </c>
      <c r="E29">
        <f t="shared" si="16"/>
        <v>15.631666666666792</v>
      </c>
      <c r="F29">
        <f t="shared" si="16"/>
        <v>-73.298611111111697</v>
      </c>
      <c r="G29" t="s">
        <v>150</v>
      </c>
    </row>
    <row r="30" spans="1:7" x14ac:dyDescent="0.35">
      <c r="A30">
        <v>2020</v>
      </c>
      <c r="B30">
        <v>70329</v>
      </c>
      <c r="C30">
        <v>-232471</v>
      </c>
      <c r="D30" t="s">
        <v>148</v>
      </c>
      <c r="E30">
        <f t="shared" si="16"/>
        <v>19.535833333333489</v>
      </c>
      <c r="F30">
        <f t="shared" si="16"/>
        <v>-64.575277777778297</v>
      </c>
    </row>
    <row r="31" spans="1:7" x14ac:dyDescent="0.35">
      <c r="A31">
        <v>2022</v>
      </c>
      <c r="B31">
        <v>188815</v>
      </c>
      <c r="C31">
        <v>-134401</v>
      </c>
      <c r="D31" t="s">
        <v>148</v>
      </c>
      <c r="E31">
        <f t="shared" si="16"/>
        <v>52.448611111111532</v>
      </c>
      <c r="F31">
        <f t="shared" si="16"/>
        <v>-37.333611111111409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095CD-4EC6-41D8-B5F7-50F34E111285}">
  <dimension ref="A2:AG80"/>
  <sheetViews>
    <sheetView topLeftCell="I7" zoomScale="90" zoomScaleNormal="90" workbookViewId="0">
      <selection activeCell="Y3" sqref="Y3"/>
    </sheetView>
  </sheetViews>
  <sheetFormatPr defaultRowHeight="14.5" x14ac:dyDescent="0.35"/>
  <cols>
    <col min="17" max="17" width="8.7265625" style="9"/>
  </cols>
  <sheetData>
    <row r="2" spans="1:33" ht="15.5" x14ac:dyDescent="0.35">
      <c r="A2" t="s">
        <v>170</v>
      </c>
      <c r="B2" t="s">
        <v>183</v>
      </c>
      <c r="D2">
        <v>1023.6841580000003</v>
      </c>
      <c r="G2" s="25" t="s">
        <v>9</v>
      </c>
      <c r="H2" s="25"/>
      <c r="I2" s="33"/>
      <c r="J2" s="33"/>
      <c r="K2" s="33"/>
      <c r="L2" s="33"/>
      <c r="M2" s="6"/>
      <c r="N2" s="6"/>
      <c r="O2" s="6"/>
      <c r="Q2" s="9" t="s">
        <v>44</v>
      </c>
      <c r="R2" t="s">
        <v>197</v>
      </c>
      <c r="S2" t="s">
        <v>132</v>
      </c>
      <c r="AE2">
        <f>AF2/AF5</f>
        <v>0.16364665900000033</v>
      </c>
      <c r="AF2">
        <v>1.98852413430082E-2</v>
      </c>
      <c r="AG2" t="s">
        <v>122</v>
      </c>
    </row>
    <row r="3" spans="1:33" ht="15.5" x14ac:dyDescent="0.35">
      <c r="B3" t="s">
        <v>184</v>
      </c>
      <c r="D3">
        <v>67.546242999999976</v>
      </c>
      <c r="E3">
        <f>D3/D2</f>
        <v>6.5983479838124012E-2</v>
      </c>
      <c r="G3" s="24" t="s">
        <v>2</v>
      </c>
      <c r="H3" s="25" t="s">
        <v>3</v>
      </c>
      <c r="I3" s="25" t="s">
        <v>4</v>
      </c>
      <c r="J3" s="25" t="s">
        <v>5</v>
      </c>
      <c r="K3" s="25" t="s">
        <v>6</v>
      </c>
      <c r="L3" s="25" t="s">
        <v>0</v>
      </c>
      <c r="M3" s="25" t="s">
        <v>192</v>
      </c>
      <c r="N3" s="25" t="s">
        <v>163</v>
      </c>
      <c r="O3" s="25" t="s">
        <v>13</v>
      </c>
      <c r="Q3" s="9">
        <f>R3/$R$6</f>
        <v>0.1411011801317982</v>
      </c>
      <c r="R3">
        <v>3.3363361834428999E-2</v>
      </c>
      <c r="S3" t="s">
        <v>131</v>
      </c>
      <c r="Y3">
        <f>Z3/$Z$11</f>
        <v>0.38902995907511656</v>
      </c>
      <c r="Z3" s="36">
        <v>3.0445221565711899E-2</v>
      </c>
      <c r="AA3" t="s">
        <v>204</v>
      </c>
      <c r="AE3">
        <f>AF3/AF5</f>
        <v>0.20380332200000001</v>
      </c>
      <c r="AF3">
        <v>2.47648089441093E-2</v>
      </c>
      <c r="AG3" t="s">
        <v>121</v>
      </c>
    </row>
    <row r="4" spans="1:33" x14ac:dyDescent="0.35">
      <c r="B4" t="s">
        <v>191</v>
      </c>
      <c r="D4">
        <f>SUM(D5:D11)</f>
        <v>956.13791500000025</v>
      </c>
      <c r="E4">
        <f>D4/D2</f>
        <v>0.93401652016187597</v>
      </c>
      <c r="G4" s="39">
        <f>D9</f>
        <v>0</v>
      </c>
      <c r="H4" s="39">
        <f>D7</f>
        <v>180.04175568672457</v>
      </c>
      <c r="I4" s="39">
        <f>D5</f>
        <v>357.76286921982097</v>
      </c>
      <c r="J4" s="39">
        <f>D6</f>
        <v>264.5100200934545</v>
      </c>
      <c r="K4" s="39">
        <f>D8</f>
        <v>16.988637999999998</v>
      </c>
      <c r="L4" s="39">
        <f>D10</f>
        <v>105.660612</v>
      </c>
      <c r="M4" s="39">
        <f>D11</f>
        <v>31.174019999999999</v>
      </c>
      <c r="N4" s="39">
        <f>D3</f>
        <v>67.546242999999976</v>
      </c>
      <c r="O4" s="39">
        <f>SUM(G4:N4)</f>
        <v>1023.6841580000001</v>
      </c>
      <c r="Q4" s="9">
        <f>R4/$R$6</f>
        <v>0.77412570967644845</v>
      </c>
      <c r="R4">
        <v>0.18304195707750201</v>
      </c>
      <c r="S4" t="s">
        <v>97</v>
      </c>
      <c r="Y4">
        <f t="shared" ref="Y4:Y10" si="0">Z4/$Z$11</f>
        <v>7.6599746892202364E-2</v>
      </c>
      <c r="Z4">
        <v>5.9946444010504996E-3</v>
      </c>
      <c r="AA4" t="s">
        <v>211</v>
      </c>
      <c r="AE4">
        <f>AF4/AF5</f>
        <v>0.63255001899999974</v>
      </c>
      <c r="AF4">
        <v>7.6863223888606197E-2</v>
      </c>
      <c r="AG4" t="s">
        <v>133</v>
      </c>
    </row>
    <row r="5" spans="1:33" x14ac:dyDescent="0.35">
      <c r="B5" t="s">
        <v>185</v>
      </c>
      <c r="D5">
        <v>357.76286921982097</v>
      </c>
      <c r="G5" t="s">
        <v>193</v>
      </c>
      <c r="Q5" s="9">
        <f>R5/$R$6</f>
        <v>8.4773110191753306E-2</v>
      </c>
      <c r="R5">
        <v>2.00445945704745E-2</v>
      </c>
      <c r="S5" t="s">
        <v>123</v>
      </c>
      <c r="Y5">
        <f t="shared" si="0"/>
        <v>0.12592502235506048</v>
      </c>
      <c r="Z5">
        <v>9.8548071088961596E-3</v>
      </c>
      <c r="AA5" t="s">
        <v>212</v>
      </c>
      <c r="AF5">
        <f>SUM(AF2:AF4)</f>
        <v>0.12151327417572369</v>
      </c>
    </row>
    <row r="6" spans="1:33" x14ac:dyDescent="0.35">
      <c r="B6" t="s">
        <v>186</v>
      </c>
      <c r="D6">
        <v>264.5100200934545</v>
      </c>
      <c r="G6">
        <f>G4/$O$4</f>
        <v>0</v>
      </c>
      <c r="H6" s="40">
        <f t="shared" ref="H6:N6" si="1">H4/$O$4</f>
        <v>0.1758762742196549</v>
      </c>
      <c r="I6" s="40">
        <f t="shared" si="1"/>
        <v>0.34948559711893179</v>
      </c>
      <c r="J6">
        <f>J4/$O$4</f>
        <v>0.258390264249312</v>
      </c>
      <c r="K6">
        <f t="shared" si="1"/>
        <v>1.659558553020022E-2</v>
      </c>
      <c r="L6">
        <f t="shared" si="1"/>
        <v>0.10321602730126453</v>
      </c>
      <c r="M6">
        <f t="shared" si="1"/>
        <v>3.0452771742512395E-2</v>
      </c>
      <c r="N6">
        <f t="shared" si="1"/>
        <v>6.5983479838124026E-2</v>
      </c>
      <c r="O6">
        <f>SUM(G6:N6)</f>
        <v>0.99999999999999989</v>
      </c>
      <c r="Q6" s="9" t="s">
        <v>38</v>
      </c>
      <c r="R6">
        <f>SUM(R3:R5)</f>
        <v>0.23644991348240552</v>
      </c>
      <c r="Y6">
        <f t="shared" si="0"/>
        <v>4.9910829312350556E-4</v>
      </c>
      <c r="Z6" s="35">
        <v>3.9059877562014098E-5</v>
      </c>
      <c r="AA6" t="s">
        <v>213</v>
      </c>
    </row>
    <row r="7" spans="1:33" x14ac:dyDescent="0.35">
      <c r="B7" t="s">
        <v>187</v>
      </c>
      <c r="D7">
        <v>180.04175568672457</v>
      </c>
      <c r="H7">
        <f>$H$6*AE2</f>
        <v>2.8781564673414417E-2</v>
      </c>
      <c r="I7">
        <f>$I$6*Q3</f>
        <v>4.9312830192547452E-2</v>
      </c>
      <c r="T7" t="s">
        <v>96</v>
      </c>
      <c r="Y7">
        <f t="shared" si="0"/>
        <v>0.16700163487912476</v>
      </c>
      <c r="Z7" s="36">
        <v>1.30694350322499E-2</v>
      </c>
      <c r="AA7" t="s">
        <v>173</v>
      </c>
    </row>
    <row r="8" spans="1:33" x14ac:dyDescent="0.35">
      <c r="B8" t="s">
        <v>188</v>
      </c>
      <c r="D8">
        <v>16.988637999999998</v>
      </c>
      <c r="H8">
        <f t="shared" ref="H8:H9" si="2">$H$6*AE3</f>
        <v>3.5844168946948626E-2</v>
      </c>
      <c r="I8">
        <f>$I$6*Q4</f>
        <v>0.27054578589139044</v>
      </c>
      <c r="T8" t="s">
        <v>195</v>
      </c>
      <c r="Y8">
        <f t="shared" si="0"/>
        <v>3.3290523151337813E-2</v>
      </c>
      <c r="Z8">
        <v>2.6052938333863398E-3</v>
      </c>
      <c r="AA8" t="s">
        <v>214</v>
      </c>
    </row>
    <row r="9" spans="1:33" x14ac:dyDescent="0.35">
      <c r="B9" t="s">
        <v>189</v>
      </c>
      <c r="D9">
        <v>0</v>
      </c>
      <c r="H9">
        <f t="shared" si="2"/>
        <v>0.11125054059929187</v>
      </c>
      <c r="I9">
        <f>$I$6*Q5</f>
        <v>2.9626981034993907E-2</v>
      </c>
      <c r="T9" t="s">
        <v>196</v>
      </c>
      <c r="Y9">
        <f t="shared" si="0"/>
        <v>0.12168260186351069</v>
      </c>
      <c r="Z9">
        <v>9.5227981496190401E-3</v>
      </c>
      <c r="AA9" t="s">
        <v>206</v>
      </c>
    </row>
    <row r="10" spans="1:33" x14ac:dyDescent="0.35">
      <c r="B10" t="s">
        <v>209</v>
      </c>
      <c r="D10">
        <v>105.660612</v>
      </c>
      <c r="S10" s="35">
        <v>2.1621783573657501E-9</v>
      </c>
      <c r="T10" t="s">
        <v>125</v>
      </c>
      <c r="Y10">
        <f t="shared" si="0"/>
        <v>8.5971403490523859E-2</v>
      </c>
      <c r="Z10">
        <v>6.7280639100569303E-3</v>
      </c>
      <c r="AA10" t="s">
        <v>215</v>
      </c>
    </row>
    <row r="11" spans="1:33" x14ac:dyDescent="0.35">
      <c r="B11" t="s">
        <v>190</v>
      </c>
      <c r="D11">
        <v>31.174019999999999</v>
      </c>
      <c r="Y11" t="s">
        <v>234</v>
      </c>
      <c r="Z11">
        <f>SUM(Z3:Z10)</f>
        <v>7.825932387853278E-2</v>
      </c>
      <c r="AA11" t="s">
        <v>235</v>
      </c>
      <c r="AB11" s="9">
        <f>(Z7+Z3)/Z11</f>
        <v>0.55603159395424129</v>
      </c>
      <c r="AC11" t="s">
        <v>236</v>
      </c>
      <c r="AD11" s="9">
        <f>(Z4+Z5+Z6+Z8+Z9+Z10)/Z11</f>
        <v>0.44396840604575871</v>
      </c>
    </row>
    <row r="12" spans="1:33" x14ac:dyDescent="0.35">
      <c r="Q12" s="9" t="s">
        <v>44</v>
      </c>
      <c r="R12" t="s">
        <v>197</v>
      </c>
    </row>
    <row r="13" spans="1:33" ht="15.5" x14ac:dyDescent="0.35">
      <c r="A13" t="s">
        <v>194</v>
      </c>
      <c r="B13" t="s">
        <v>183</v>
      </c>
      <c r="D13">
        <v>720.72576747476421</v>
      </c>
      <c r="G13" s="25" t="s">
        <v>9</v>
      </c>
      <c r="H13" s="25"/>
      <c r="I13" s="33"/>
      <c r="J13" s="33"/>
      <c r="K13" s="33"/>
      <c r="L13" s="33"/>
      <c r="M13" s="6"/>
      <c r="N13" s="6"/>
      <c r="O13" s="6"/>
      <c r="Q13" s="9">
        <f>R13/R15</f>
        <v>0.87098443000000025</v>
      </c>
      <c r="R13">
        <v>0.16999136786970301</v>
      </c>
      <c r="S13" t="s">
        <v>199</v>
      </c>
      <c r="Y13">
        <f>Z13/Z16</f>
        <v>0.15128671699999971</v>
      </c>
      <c r="Z13">
        <v>1.08181685354201E-2</v>
      </c>
      <c r="AA13" t="s">
        <v>122</v>
      </c>
    </row>
    <row r="14" spans="1:33" ht="15.5" x14ac:dyDescent="0.35">
      <c r="B14" t="s">
        <v>184</v>
      </c>
      <c r="D14">
        <v>0</v>
      </c>
      <c r="E14">
        <f>D14/D13</f>
        <v>0</v>
      </c>
      <c r="G14" s="24" t="s">
        <v>2</v>
      </c>
      <c r="H14" s="25" t="s">
        <v>3</v>
      </c>
      <c r="I14" s="25" t="s">
        <v>4</v>
      </c>
      <c r="J14" s="25" t="s">
        <v>5</v>
      </c>
      <c r="K14" s="25" t="s">
        <v>6</v>
      </c>
      <c r="L14" s="25" t="s">
        <v>0</v>
      </c>
      <c r="M14" s="25" t="s">
        <v>192</v>
      </c>
      <c r="N14" s="25" t="s">
        <v>163</v>
      </c>
      <c r="O14" s="25" t="s">
        <v>13</v>
      </c>
      <c r="Q14" s="9">
        <f>R14/R15</f>
        <v>0.12901556999999983</v>
      </c>
      <c r="R14">
        <v>2.5180166792177199E-2</v>
      </c>
      <c r="S14" t="s">
        <v>132</v>
      </c>
      <c r="Y14">
        <f>Z14/Z16</f>
        <v>0.18871848200000052</v>
      </c>
      <c r="Z14">
        <v>1.3494828789394999E-2</v>
      </c>
      <c r="AA14" t="s">
        <v>121</v>
      </c>
    </row>
    <row r="15" spans="1:33" x14ac:dyDescent="0.35">
      <c r="B15" t="s">
        <v>191</v>
      </c>
      <c r="D15">
        <f>SUM(D16:D22)</f>
        <v>720.72576747476421</v>
      </c>
      <c r="E15">
        <f>D15/D13</f>
        <v>1</v>
      </c>
      <c r="G15" s="39">
        <f>D20</f>
        <v>105.080129</v>
      </c>
      <c r="H15" s="39">
        <f>D18</f>
        <v>65.02152071601229</v>
      </c>
      <c r="I15" s="39">
        <f>D16</f>
        <v>122.73634796032916</v>
      </c>
      <c r="J15" s="39">
        <f>D17</f>
        <v>299.73912832365858</v>
      </c>
      <c r="K15" s="39">
        <f>D19</f>
        <v>39.028888752251305</v>
      </c>
      <c r="L15" s="39">
        <f>D21</f>
        <v>80.634860722513096</v>
      </c>
      <c r="M15" s="39">
        <f>D22</f>
        <v>8.4848920000000003</v>
      </c>
      <c r="N15" s="39">
        <f>D14</f>
        <v>0</v>
      </c>
      <c r="O15" s="39">
        <f>SUM(G15:N15)</f>
        <v>720.72576747476433</v>
      </c>
      <c r="R15">
        <f>SUM(R13:R14)</f>
        <v>0.1951715346618802</v>
      </c>
      <c r="Y15">
        <f>Z15/Z16</f>
        <v>0.65999480099999985</v>
      </c>
      <c r="Z15">
        <v>4.7194724899206203E-2</v>
      </c>
      <c r="AA15" t="s">
        <v>133</v>
      </c>
    </row>
    <row r="16" spans="1:33" x14ac:dyDescent="0.35">
      <c r="B16" t="s">
        <v>185</v>
      </c>
      <c r="D16">
        <v>122.73634796032916</v>
      </c>
      <c r="G16" t="s">
        <v>193</v>
      </c>
      <c r="Q16" s="9">
        <f>R16/R19</f>
        <v>0.10136004989855114</v>
      </c>
      <c r="R16">
        <v>1.3771927469141401E-2</v>
      </c>
      <c r="S16" t="s">
        <v>131</v>
      </c>
      <c r="Z16">
        <f>SUM(Z13:Z15)</f>
        <v>7.1507722224021297E-2</v>
      </c>
    </row>
    <row r="17" spans="1:33" x14ac:dyDescent="0.35">
      <c r="B17" t="s">
        <v>186</v>
      </c>
      <c r="D17">
        <v>299.73912832365858</v>
      </c>
      <c r="G17" s="40">
        <f>G15/$O$4</f>
        <v>0.10264897447011188</v>
      </c>
      <c r="H17" s="40">
        <f t="shared" ref="H17:N17" si="3">H15/$O$4</f>
        <v>6.351717002541743E-2</v>
      </c>
      <c r="I17" s="40">
        <f>I15/$O$4</f>
        <v>0.1198966956762548</v>
      </c>
      <c r="J17">
        <f t="shared" si="3"/>
        <v>0.29280430490324977</v>
      </c>
      <c r="K17">
        <f t="shared" si="3"/>
        <v>3.8125908706551755E-2</v>
      </c>
      <c r="L17">
        <f t="shared" si="3"/>
        <v>7.8769276726965903E-2</v>
      </c>
      <c r="M17">
        <f t="shared" si="3"/>
        <v>8.2885838700260499E-3</v>
      </c>
      <c r="N17">
        <f t="shared" si="3"/>
        <v>0</v>
      </c>
      <c r="O17">
        <f>SUM(G17:N17)</f>
        <v>0.70405091437857747</v>
      </c>
      <c r="Q17" s="9">
        <f>R17/R19</f>
        <v>5.8991436217557071E-2</v>
      </c>
      <c r="R17">
        <v>8.0152464575719406E-3</v>
      </c>
      <c r="S17" t="s">
        <v>123</v>
      </c>
    </row>
    <row r="18" spans="1:33" x14ac:dyDescent="0.35">
      <c r="B18" t="s">
        <v>187</v>
      </c>
      <c r="D18">
        <v>65.02152071601229</v>
      </c>
      <c r="G18">
        <f>G17*Q13</f>
        <v>8.9405658518934977E-2</v>
      </c>
      <c r="H18">
        <f>$H$17*Y13</f>
        <v>9.6093041262761917E-3</v>
      </c>
      <c r="I18">
        <f>$I$17*R16</f>
        <v>1.6512085966431005E-3</v>
      </c>
      <c r="Q18" s="9">
        <f>R18/R19</f>
        <v>0.83964851388389183</v>
      </c>
      <c r="R18">
        <v>0.114084182519198</v>
      </c>
      <c r="S18" t="s">
        <v>97</v>
      </c>
    </row>
    <row r="19" spans="1:33" x14ac:dyDescent="0.35">
      <c r="B19" t="s">
        <v>188</v>
      </c>
      <c r="D19">
        <v>39.028888752251305</v>
      </c>
      <c r="G19">
        <f>G17*Q14</f>
        <v>1.3243315951176915E-2</v>
      </c>
      <c r="H19">
        <f t="shared" ref="H19:H20" si="4">$H$17*Y14</f>
        <v>1.1986863908132712E-2</v>
      </c>
      <c r="I19">
        <f>$I$17*R17</f>
        <v>9.6100156529368226E-4</v>
      </c>
      <c r="R19">
        <f>SUM(R16:R18)</f>
        <v>0.13587135644591133</v>
      </c>
    </row>
    <row r="20" spans="1:33" x14ac:dyDescent="0.35">
      <c r="B20" t="s">
        <v>189</v>
      </c>
      <c r="D20">
        <v>105.080129</v>
      </c>
      <c r="H20">
        <f t="shared" si="4"/>
        <v>4.1921001991008532E-2</v>
      </c>
      <c r="I20">
        <f>$I$17*R18</f>
        <v>1.367831651297859E-2</v>
      </c>
      <c r="S20" t="s">
        <v>96</v>
      </c>
    </row>
    <row r="21" spans="1:33" x14ac:dyDescent="0.35">
      <c r="B21" t="s">
        <v>209</v>
      </c>
      <c r="D21">
        <v>80.634860722513096</v>
      </c>
      <c r="S21" t="s">
        <v>92</v>
      </c>
    </row>
    <row r="22" spans="1:33" x14ac:dyDescent="0.35">
      <c r="B22" t="s">
        <v>190</v>
      </c>
      <c r="D22">
        <v>8.4848920000000003</v>
      </c>
      <c r="R22" s="35">
        <v>2.1670778390046501E-9</v>
      </c>
      <c r="S22" t="s">
        <v>125</v>
      </c>
    </row>
    <row r="23" spans="1:33" x14ac:dyDescent="0.35">
      <c r="R23" s="35">
        <v>1.4192813639264101E-10</v>
      </c>
      <c r="S23" t="s">
        <v>124</v>
      </c>
    </row>
    <row r="24" spans="1:33" ht="15.5" x14ac:dyDescent="0.35">
      <c r="A24" t="s">
        <v>168</v>
      </c>
      <c r="B24" t="s">
        <v>183</v>
      </c>
      <c r="D24">
        <v>691.991399</v>
      </c>
      <c r="G24" s="25" t="s">
        <v>9</v>
      </c>
      <c r="H24" s="25"/>
      <c r="I24" s="33"/>
      <c r="J24" s="33"/>
      <c r="K24" s="33"/>
      <c r="L24" s="33"/>
      <c r="M24" s="6"/>
      <c r="N24" s="6"/>
      <c r="O24" s="6"/>
      <c r="R24" s="35">
        <v>2.6965250167450102E-10</v>
      </c>
      <c r="S24" t="s">
        <v>157</v>
      </c>
    </row>
    <row r="25" spans="1:33" ht="15.5" x14ac:dyDescent="0.35">
      <c r="B25" t="s">
        <v>184</v>
      </c>
      <c r="D25">
        <v>43.76335499999999</v>
      </c>
      <c r="E25">
        <f>D25/D24</f>
        <v>6.3242628540242873E-2</v>
      </c>
      <c r="G25" s="24" t="s">
        <v>2</v>
      </c>
      <c r="H25" s="25" t="s">
        <v>3</v>
      </c>
      <c r="I25" s="25" t="s">
        <v>4</v>
      </c>
      <c r="J25" s="25" t="s">
        <v>5</v>
      </c>
      <c r="K25" s="25" t="s">
        <v>6</v>
      </c>
      <c r="L25" s="25" t="s">
        <v>0</v>
      </c>
      <c r="M25" s="25" t="s">
        <v>192</v>
      </c>
      <c r="N25" s="25" t="s">
        <v>163</v>
      </c>
      <c r="O25" s="25" t="s">
        <v>13</v>
      </c>
      <c r="R25" s="35"/>
    </row>
    <row r="26" spans="1:33" x14ac:dyDescent="0.35">
      <c r="B26" t="s">
        <v>191</v>
      </c>
      <c r="D26">
        <f>SUM(D27:D33)</f>
        <v>648.22804399999995</v>
      </c>
      <c r="E26">
        <f>D26/D24</f>
        <v>0.93675737145975702</v>
      </c>
      <c r="G26" s="39">
        <f>D31</f>
        <v>0</v>
      </c>
      <c r="H26" s="39">
        <f>D29</f>
        <v>372.77263358889644</v>
      </c>
      <c r="I26" s="39">
        <f>D27</f>
        <v>79.315914985036315</v>
      </c>
      <c r="J26" s="39">
        <f>D28</f>
        <v>41.72916842606719</v>
      </c>
      <c r="K26" s="39">
        <f>D30</f>
        <v>48.586061999999998</v>
      </c>
      <c r="L26" s="39">
        <f>D32</f>
        <v>55.179133999999998</v>
      </c>
      <c r="M26" s="39">
        <f>D33</f>
        <v>50.645130999999999</v>
      </c>
      <c r="N26" s="39">
        <f>D25</f>
        <v>43.76335499999999</v>
      </c>
      <c r="O26" s="39">
        <f>SUM(G26:N26)</f>
        <v>691.991399</v>
      </c>
      <c r="Q26" s="9">
        <f>R26/R29</f>
        <v>8.5651536999999958E-2</v>
      </c>
      <c r="R26">
        <v>6.15854344401052E-3</v>
      </c>
      <c r="S26" t="s">
        <v>123</v>
      </c>
      <c r="Y26">
        <f t="shared" ref="Y26:Y32" si="5">Z26/$Z$33</f>
        <v>8.4643662958949057E-4</v>
      </c>
      <c r="Z26">
        <v>1.3381725308532201E-4</v>
      </c>
      <c r="AA26" t="s">
        <v>203</v>
      </c>
      <c r="AE26">
        <f>AF26/AF29</f>
        <v>0.16364665900000033</v>
      </c>
      <c r="AF26">
        <v>1.98852413430082E-2</v>
      </c>
      <c r="AG26" t="s">
        <v>122</v>
      </c>
    </row>
    <row r="27" spans="1:33" x14ac:dyDescent="0.35">
      <c r="B27" t="s">
        <v>185</v>
      </c>
      <c r="D27">
        <v>79.315914985036315</v>
      </c>
      <c r="G27" t="s">
        <v>193</v>
      </c>
      <c r="Q27" s="9">
        <f>R27/R29</f>
        <v>0.28051377599999977</v>
      </c>
      <c r="R27">
        <v>2.0169588738838801E-2</v>
      </c>
      <c r="S27" t="s">
        <v>131</v>
      </c>
      <c r="Y27" s="36">
        <f t="shared" si="5"/>
        <v>0.34666760204789365</v>
      </c>
      <c r="Z27">
        <v>5.4806354803221602E-2</v>
      </c>
      <c r="AA27" t="s">
        <v>204</v>
      </c>
      <c r="AE27">
        <f>AF27/AF29</f>
        <v>0.20380332200000001</v>
      </c>
      <c r="AF27">
        <v>2.47648089441093E-2</v>
      </c>
      <c r="AG27" t="s">
        <v>121</v>
      </c>
    </row>
    <row r="28" spans="1:33" x14ac:dyDescent="0.35">
      <c r="B28" t="s">
        <v>186</v>
      </c>
      <c r="D28">
        <v>41.72916842606719</v>
      </c>
      <c r="G28">
        <f>G26/$O$4</f>
        <v>0</v>
      </c>
      <c r="H28" s="40">
        <f t="shared" ref="H28:N28" si="6">H26/$O$4</f>
        <v>0.36414809262770326</v>
      </c>
      <c r="I28" s="40">
        <f t="shared" si="6"/>
        <v>7.7480846377458848E-2</v>
      </c>
      <c r="J28">
        <f t="shared" si="6"/>
        <v>4.0763714178789885E-2</v>
      </c>
      <c r="K28" s="40">
        <f t="shared" si="6"/>
        <v>4.7461965314500837E-2</v>
      </c>
      <c r="L28">
        <f t="shared" si="6"/>
        <v>5.390249870409735E-2</v>
      </c>
      <c r="M28">
        <f t="shared" si="6"/>
        <v>4.9473395289174722E-2</v>
      </c>
      <c r="N28">
        <f t="shared" si="6"/>
        <v>4.2750837412099507E-2</v>
      </c>
      <c r="O28">
        <f>SUM(G28:N28)</f>
        <v>0.67598134990382441</v>
      </c>
      <c r="Q28" s="9">
        <f>R28/R29</f>
        <v>0.63383468700000012</v>
      </c>
      <c r="R28">
        <v>4.55741787355236E-2</v>
      </c>
      <c r="S28" t="s">
        <v>97</v>
      </c>
      <c r="Y28" s="36">
        <f t="shared" si="5"/>
        <v>0.50470135945609029</v>
      </c>
      <c r="Z28">
        <v>7.9790674446114804E-2</v>
      </c>
      <c r="AA28" t="s">
        <v>173</v>
      </c>
      <c r="AE28">
        <f>AF28/AF29</f>
        <v>0.63255001899999974</v>
      </c>
      <c r="AF28">
        <v>7.6863223888606197E-2</v>
      </c>
      <c r="AG28" t="s">
        <v>133</v>
      </c>
    </row>
    <row r="29" spans="1:33" x14ac:dyDescent="0.35">
      <c r="B29" t="s">
        <v>187</v>
      </c>
      <c r="D29">
        <v>372.77263358889644</v>
      </c>
      <c r="H29">
        <f>$H$28*AE26</f>
        <v>5.9591618739746291E-2</v>
      </c>
      <c r="I29">
        <f>$I$28*Q26</f>
        <v>6.6363535802902293E-3</v>
      </c>
      <c r="K29">
        <f>K28*Q30</f>
        <v>1.7085942625630911E-2</v>
      </c>
      <c r="R29">
        <f>SUM(R26:R28)</f>
        <v>7.190231091837293E-2</v>
      </c>
      <c r="Y29">
        <f t="shared" si="5"/>
        <v>4.4368451668154593E-4</v>
      </c>
      <c r="Z29" s="35">
        <v>7.0144227202936706E-5</v>
      </c>
      <c r="AA29" t="s">
        <v>205</v>
      </c>
      <c r="AF29">
        <f>SUM(AF26:AF28)</f>
        <v>0.12151327417572369</v>
      </c>
    </row>
    <row r="30" spans="1:33" x14ac:dyDescent="0.35">
      <c r="B30" t="s">
        <v>188</v>
      </c>
      <c r="D30">
        <v>48.586061999999998</v>
      </c>
      <c r="H30">
        <f t="shared" ref="H30:H31" si="7">$H$28*AE27</f>
        <v>7.4214590977489642E-2</v>
      </c>
      <c r="I30">
        <f t="shared" ref="I30:I31" si="8">$I$28*Q27</f>
        <v>2.1734444785016883E-2</v>
      </c>
      <c r="K30">
        <f>K28*Q31</f>
        <v>3.0376022688869929E-2</v>
      </c>
      <c r="Q30" s="9">
        <f>R30/R32</f>
        <v>0.35999231199999887</v>
      </c>
      <c r="R30">
        <v>5.8716134818375898E-2</v>
      </c>
      <c r="S30" t="s">
        <v>92</v>
      </c>
      <c r="Y30">
        <f t="shared" si="5"/>
        <v>2.7944620276912264E-2</v>
      </c>
      <c r="Z30">
        <v>4.4178999268762497E-3</v>
      </c>
      <c r="AA30" t="s">
        <v>206</v>
      </c>
    </row>
    <row r="31" spans="1:33" x14ac:dyDescent="0.35">
      <c r="B31" t="s">
        <v>189</v>
      </c>
      <c r="D31">
        <v>0</v>
      </c>
      <c r="H31">
        <f t="shared" si="7"/>
        <v>0.23034188291046737</v>
      </c>
      <c r="I31">
        <f t="shared" si="8"/>
        <v>4.911004801215172E-2</v>
      </c>
      <c r="Q31" s="9">
        <f>R31/R32</f>
        <v>0.64000768800000118</v>
      </c>
      <c r="R31">
        <v>0.104387722850607</v>
      </c>
      <c r="S31" t="s">
        <v>91</v>
      </c>
      <c r="Y31">
        <f t="shared" si="5"/>
        <v>0.11810403834547584</v>
      </c>
      <c r="Z31">
        <v>1.8671637588912E-2</v>
      </c>
      <c r="AA31" t="s">
        <v>207</v>
      </c>
    </row>
    <row r="32" spans="1:33" x14ac:dyDescent="0.35">
      <c r="B32" t="s">
        <v>209</v>
      </c>
      <c r="D32">
        <v>55.179133999999998</v>
      </c>
      <c r="R32">
        <f>SUM(R30:R31)</f>
        <v>0.16310385766898289</v>
      </c>
      <c r="Y32">
        <f t="shared" si="5"/>
        <v>1.2922587273569892E-3</v>
      </c>
      <c r="Z32">
        <v>2.0429942080166499E-4</v>
      </c>
      <c r="AA32" t="s">
        <v>208</v>
      </c>
    </row>
    <row r="33" spans="1:28" x14ac:dyDescent="0.35">
      <c r="B33" t="s">
        <v>190</v>
      </c>
      <c r="D33">
        <v>50.645130999999999</v>
      </c>
      <c r="R33" s="35">
        <v>6.6544044844740601E-9</v>
      </c>
      <c r="S33" t="s">
        <v>125</v>
      </c>
      <c r="Z33">
        <f>SUM(Z26:Z32)</f>
        <v>0.15809482766621458</v>
      </c>
      <c r="AA33" t="s">
        <v>210</v>
      </c>
      <c r="AB33">
        <f>M39*(Y26+Y29+Y30+Y31)</f>
        <v>6.8486260564548989E-3</v>
      </c>
    </row>
    <row r="34" spans="1:28" x14ac:dyDescent="0.35">
      <c r="R34" s="35">
        <v>1.9648610168655699E-10</v>
      </c>
      <c r="S34" t="s">
        <v>124</v>
      </c>
    </row>
    <row r="35" spans="1:28" ht="15.5" x14ac:dyDescent="0.35">
      <c r="A35" t="s">
        <v>171</v>
      </c>
      <c r="B35" t="s">
        <v>183</v>
      </c>
      <c r="D35">
        <v>556.32938263199992</v>
      </c>
      <c r="G35" s="25" t="s">
        <v>9</v>
      </c>
      <c r="H35" s="25"/>
      <c r="I35" s="33"/>
      <c r="J35" s="33"/>
      <c r="K35" s="33"/>
      <c r="L35" s="33"/>
      <c r="M35" s="6"/>
      <c r="N35" s="6"/>
      <c r="O35" s="6"/>
      <c r="R35" s="35">
        <v>1.6557078487408601E-10</v>
      </c>
      <c r="S35" t="s">
        <v>157</v>
      </c>
    </row>
    <row r="36" spans="1:28" ht="15.5" x14ac:dyDescent="0.35">
      <c r="B36" t="s">
        <v>184</v>
      </c>
      <c r="D36">
        <v>0</v>
      </c>
      <c r="E36">
        <f>D36/D35</f>
        <v>0</v>
      </c>
      <c r="G36" s="24" t="s">
        <v>2</v>
      </c>
      <c r="H36" s="25" t="s">
        <v>3</v>
      </c>
      <c r="I36" s="25" t="s">
        <v>4</v>
      </c>
      <c r="J36" s="25" t="s">
        <v>5</v>
      </c>
      <c r="K36" s="25" t="s">
        <v>6</v>
      </c>
      <c r="L36" s="25" t="s">
        <v>0</v>
      </c>
      <c r="M36" s="25" t="s">
        <v>192</v>
      </c>
      <c r="N36" s="25" t="s">
        <v>163</v>
      </c>
      <c r="O36" s="25" t="s">
        <v>13</v>
      </c>
    </row>
    <row r="37" spans="1:28" x14ac:dyDescent="0.35">
      <c r="B37" t="s">
        <v>191</v>
      </c>
      <c r="D37">
        <f>SUM(D38:D44)</f>
        <v>556.32938263199992</v>
      </c>
      <c r="E37">
        <f>D37/D35</f>
        <v>1</v>
      </c>
      <c r="G37" s="39">
        <f>D42</f>
        <v>0</v>
      </c>
      <c r="H37" s="39">
        <f>D40</f>
        <v>246.22457577016107</v>
      </c>
      <c r="I37" s="39">
        <f>D38</f>
        <v>177.45497086481106</v>
      </c>
      <c r="J37" s="39">
        <f>D39</f>
        <v>28.786919365027842</v>
      </c>
      <c r="K37" s="39">
        <f>D41</f>
        <v>36.803914632000016</v>
      </c>
      <c r="L37" s="39">
        <f>D43</f>
        <v>19.475942</v>
      </c>
      <c r="M37" s="39">
        <f>D44</f>
        <v>47.583060000000003</v>
      </c>
      <c r="N37" s="39">
        <f>D36</f>
        <v>0</v>
      </c>
      <c r="O37" s="39">
        <f>SUM(G37:N37)</f>
        <v>556.32938263199992</v>
      </c>
      <c r="Q37" s="9">
        <f>R37/R40</f>
        <v>0.64387021578941706</v>
      </c>
      <c r="R37">
        <v>0.14978017749438399</v>
      </c>
      <c r="S37" t="s">
        <v>97</v>
      </c>
      <c r="Z37">
        <f>AA37/AA40</f>
        <v>0.26612799800000014</v>
      </c>
      <c r="AA37">
        <v>1.6880919562731599E-2</v>
      </c>
      <c r="AB37" t="s">
        <v>122</v>
      </c>
    </row>
    <row r="38" spans="1:28" x14ac:dyDescent="0.35">
      <c r="B38" t="s">
        <v>185</v>
      </c>
      <c r="D38">
        <v>177.45497086481106</v>
      </c>
      <c r="G38" t="s">
        <v>193</v>
      </c>
      <c r="Q38" s="9">
        <f>R38/R40</f>
        <v>1.7097341158520047E-3</v>
      </c>
      <c r="R38">
        <v>3.9772654963787199E-4</v>
      </c>
      <c r="S38" t="s">
        <v>123</v>
      </c>
      <c r="Z38">
        <f>AA38/AA40</f>
        <v>0.33153777099999993</v>
      </c>
      <c r="AA38">
        <v>2.1029964852695902E-2</v>
      </c>
      <c r="AB38" t="s">
        <v>121</v>
      </c>
    </row>
    <row r="39" spans="1:28" x14ac:dyDescent="0.35">
      <c r="B39" t="s">
        <v>186</v>
      </c>
      <c r="D39">
        <v>28.786919365027842</v>
      </c>
      <c r="G39">
        <f>G37/$O$4</f>
        <v>0</v>
      </c>
      <c r="H39" s="40">
        <f t="shared" ref="H39:N39" si="9">H37/$O$4</f>
        <v>0.24052787556194752</v>
      </c>
      <c r="I39" s="40">
        <f t="shared" si="9"/>
        <v>0.17334933776010533</v>
      </c>
      <c r="J39">
        <f t="shared" si="9"/>
        <v>2.8120899537284662E-2</v>
      </c>
      <c r="K39" s="40">
        <f t="shared" si="9"/>
        <v>3.5952412025116065E-2</v>
      </c>
      <c r="L39">
        <f t="shared" si="9"/>
        <v>1.9025342775696247E-2</v>
      </c>
      <c r="M39">
        <f t="shared" si="9"/>
        <v>4.6482168966025944E-2</v>
      </c>
      <c r="N39">
        <f t="shared" si="9"/>
        <v>0</v>
      </c>
      <c r="O39">
        <f>SUM(G39:N39)</f>
        <v>0.54345803662617576</v>
      </c>
      <c r="Q39" s="9">
        <f>R39/R40</f>
        <v>0.35442005009473088</v>
      </c>
      <c r="R39">
        <v>8.2446891794291599E-2</v>
      </c>
      <c r="S39" t="s">
        <v>131</v>
      </c>
      <c r="Z39">
        <f>AA39/AA40</f>
        <v>0.40233423099999999</v>
      </c>
      <c r="AA39">
        <v>2.5520696213423101E-2</v>
      </c>
      <c r="AB39" t="s">
        <v>133</v>
      </c>
    </row>
    <row r="40" spans="1:28" x14ac:dyDescent="0.35">
      <c r="B40" t="s">
        <v>187</v>
      </c>
      <c r="D40">
        <v>246.22457577016107</v>
      </c>
      <c r="H40">
        <f>$H$39*Z37</f>
        <v>6.4011201986494251E-2</v>
      </c>
      <c r="I40">
        <f>$I$39*Q37</f>
        <v>0.11161447551055156</v>
      </c>
      <c r="K40">
        <f>K39*Q42</f>
        <v>2.3717975097580838E-2</v>
      </c>
      <c r="R40">
        <f>SUM(R37:R39)</f>
        <v>0.23262479583831347</v>
      </c>
      <c r="AA40">
        <f>SUM(AA37:AA39)</f>
        <v>6.3431580628850598E-2</v>
      </c>
    </row>
    <row r="41" spans="1:28" x14ac:dyDescent="0.35">
      <c r="B41" t="s">
        <v>188</v>
      </c>
      <c r="D41">
        <v>36.803914632000016</v>
      </c>
      <c r="H41">
        <f t="shared" ref="H41:H42" si="10">$H$39*Z38</f>
        <v>7.974407572717343E-2</v>
      </c>
      <c r="I41">
        <f t="shared" ref="I41:I42" si="11">$I$39*Q38</f>
        <v>2.9638127672880423E-4</v>
      </c>
      <c r="K41">
        <f>K39*Q43</f>
        <v>1.2218119891210072E-2</v>
      </c>
      <c r="R41" s="35">
        <v>4.5196145942941799E-5</v>
      </c>
      <c r="S41" t="s">
        <v>96</v>
      </c>
    </row>
    <row r="42" spans="1:28" x14ac:dyDescent="0.35">
      <c r="B42" t="s">
        <v>189</v>
      </c>
      <c r="D42">
        <v>0</v>
      </c>
      <c r="H42">
        <f t="shared" si="10"/>
        <v>9.6772597848279851E-2</v>
      </c>
      <c r="I42">
        <f t="shared" si="11"/>
        <v>6.1438480972824956E-2</v>
      </c>
      <c r="Q42" s="9">
        <f>R42/R44</f>
        <v>0.65970469744871785</v>
      </c>
      <c r="R42">
        <v>6.5695818935490105E-2</v>
      </c>
      <c r="S42" t="s">
        <v>92</v>
      </c>
    </row>
    <row r="43" spans="1:28" x14ac:dyDescent="0.35">
      <c r="B43" t="s">
        <v>209</v>
      </c>
      <c r="D43">
        <v>19.475942</v>
      </c>
      <c r="Q43" s="9">
        <f>R43/R44</f>
        <v>0.33984145160203971</v>
      </c>
      <c r="R43">
        <v>3.3842661053595499E-2</v>
      </c>
      <c r="S43" t="s">
        <v>195</v>
      </c>
    </row>
    <row r="44" spans="1:28" x14ac:dyDescent="0.35">
      <c r="B44" t="s">
        <v>190</v>
      </c>
      <c r="D44">
        <v>47.583060000000003</v>
      </c>
      <c r="R44" s="35">
        <f>SUM(R41:R43)</f>
        <v>9.958367613502854E-2</v>
      </c>
    </row>
    <row r="45" spans="1:28" x14ac:dyDescent="0.35">
      <c r="R45" s="35">
        <v>4.94760991840923E-9</v>
      </c>
      <c r="S45" t="s">
        <v>125</v>
      </c>
    </row>
    <row r="46" spans="1:28" x14ac:dyDescent="0.35">
      <c r="R46" s="35">
        <v>1.2961596435765799E-10</v>
      </c>
      <c r="S46" t="s">
        <v>124</v>
      </c>
    </row>
    <row r="47" spans="1:28" x14ac:dyDescent="0.35">
      <c r="R47" s="35">
        <v>1.0194905896113601E-10</v>
      </c>
      <c r="S47" t="s">
        <v>157</v>
      </c>
    </row>
    <row r="49" spans="1:9" x14ac:dyDescent="0.35">
      <c r="A49" t="s">
        <v>12</v>
      </c>
      <c r="G49">
        <v>1.70051169158815E-2</v>
      </c>
      <c r="H49" t="s">
        <v>156</v>
      </c>
    </row>
    <row r="50" spans="1:9" x14ac:dyDescent="0.35">
      <c r="G50">
        <f>H80*0.0100175706078025</f>
        <v>9.1908439025275221E-3</v>
      </c>
      <c r="H50" t="s">
        <v>90</v>
      </c>
    </row>
    <row r="51" spans="1:9" x14ac:dyDescent="0.35">
      <c r="H51">
        <f>H80*0.000934534992042312</f>
        <v>8.5741000184423437E-4</v>
      </c>
      <c r="I51" t="s">
        <v>217</v>
      </c>
    </row>
    <row r="52" spans="1:9" x14ac:dyDescent="0.35">
      <c r="E52" t="s">
        <v>224</v>
      </c>
      <c r="F52">
        <v>1.7364325320635001E-2</v>
      </c>
    </row>
    <row r="53" spans="1:9" x14ac:dyDescent="0.35">
      <c r="G53">
        <f>H80*0.00344097625518239</f>
        <v>3.1570005215688281E-3</v>
      </c>
      <c r="H53" t="s">
        <v>92</v>
      </c>
    </row>
    <row r="54" spans="1:9" x14ac:dyDescent="0.35">
      <c r="G54">
        <f>H80*0.0436970723714239</f>
        <v>4.009085504727028E-2</v>
      </c>
      <c r="H54" t="s">
        <v>96</v>
      </c>
    </row>
    <row r="55" spans="1:9" x14ac:dyDescent="0.35">
      <c r="E55" t="s">
        <v>225</v>
      </c>
      <c r="F55">
        <v>2.66895253351002E-2</v>
      </c>
    </row>
    <row r="56" spans="1:9" x14ac:dyDescent="0.35">
      <c r="G56">
        <f>H80*0.47086043779401</f>
        <v>0.43200142560211408</v>
      </c>
      <c r="H56" t="s">
        <v>132</v>
      </c>
    </row>
    <row r="57" spans="1:9" x14ac:dyDescent="0.35">
      <c r="E57" t="s">
        <v>225</v>
      </c>
      <c r="F57" s="35">
        <v>8.0696460796152999E-5</v>
      </c>
    </row>
    <row r="58" spans="1:9" x14ac:dyDescent="0.35">
      <c r="G58">
        <f>H80*0.0068344838140023</f>
        <v>6.2704498274183266E-3</v>
      </c>
      <c r="H58" t="s">
        <v>123</v>
      </c>
    </row>
    <row r="59" spans="1:9" x14ac:dyDescent="0.35">
      <c r="E59" t="s">
        <v>226</v>
      </c>
      <c r="F59">
        <v>2.7718708304530701E-2</v>
      </c>
    </row>
    <row r="60" spans="1:9" x14ac:dyDescent="0.35">
      <c r="E60" t="s">
        <v>227</v>
      </c>
      <c r="F60">
        <v>4.0427605781048301E-2</v>
      </c>
    </row>
    <row r="61" spans="1:9" x14ac:dyDescent="0.35">
      <c r="E61" t="s">
        <v>228</v>
      </c>
      <c r="F61" s="35">
        <v>7.29584440074807E-5</v>
      </c>
    </row>
    <row r="62" spans="1:9" x14ac:dyDescent="0.35">
      <c r="E62" t="s">
        <v>93</v>
      </c>
      <c r="F62">
        <v>0.118912288116928</v>
      </c>
    </row>
    <row r="63" spans="1:9" x14ac:dyDescent="0.35">
      <c r="G63">
        <f>H80*0.0241072385896233</f>
        <v>2.2117724493565531E-2</v>
      </c>
      <c r="H63" t="s">
        <v>218</v>
      </c>
    </row>
    <row r="64" spans="1:9" x14ac:dyDescent="0.35">
      <c r="G64">
        <f>H80*0.0579234625197065</f>
        <v>5.3143174443699585E-2</v>
      </c>
      <c r="H64" t="s">
        <v>97</v>
      </c>
    </row>
    <row r="65" spans="5:19" x14ac:dyDescent="0.35">
      <c r="G65">
        <f>H80*0.00367445254364948</f>
        <v>3.3712085572547611E-3</v>
      </c>
      <c r="H65" t="s">
        <v>196</v>
      </c>
    </row>
    <row r="66" spans="5:19" x14ac:dyDescent="0.35">
      <c r="E66" t="s">
        <v>229</v>
      </c>
      <c r="F66" s="35">
        <v>4.2006376852791903E-5</v>
      </c>
    </row>
    <row r="67" spans="5:19" x14ac:dyDescent="0.35">
      <c r="H67">
        <f>H80*0.0680599276963229</f>
        <v>6.2443100823966341E-2</v>
      </c>
      <c r="I67" t="s">
        <v>212</v>
      </c>
    </row>
    <row r="68" spans="5:19" x14ac:dyDescent="0.35">
      <c r="H68">
        <f>H80*0.0761116602139682</f>
        <v>6.9830342662515907E-2</v>
      </c>
      <c r="I68" t="s">
        <v>204</v>
      </c>
    </row>
    <row r="69" spans="5:19" x14ac:dyDescent="0.35">
      <c r="H69">
        <f>H80*0.0014547441255437</f>
        <v>1.3346874905555593E-3</v>
      </c>
      <c r="I69" t="s">
        <v>172</v>
      </c>
    </row>
    <row r="70" spans="5:19" x14ac:dyDescent="0.35">
      <c r="G70">
        <v>1.5753243368237799E-3</v>
      </c>
      <c r="H70" t="s">
        <v>131</v>
      </c>
    </row>
    <row r="71" spans="5:19" x14ac:dyDescent="0.35">
      <c r="E71" t="s">
        <v>38</v>
      </c>
      <c r="F71">
        <f>H80*SUM(F49:F70)</f>
        <v>0.21221879572198776</v>
      </c>
    </row>
    <row r="74" spans="5:19" x14ac:dyDescent="0.35">
      <c r="G74" s="35">
        <v>2.1426993590677398E-9</v>
      </c>
      <c r="H74" t="s">
        <v>125</v>
      </c>
    </row>
    <row r="75" spans="5:19" x14ac:dyDescent="0.35">
      <c r="G75" s="35">
        <v>1.16401360225082E-9</v>
      </c>
      <c r="H75" t="s">
        <v>124</v>
      </c>
    </row>
    <row r="76" spans="5:19" x14ac:dyDescent="0.35">
      <c r="S76" s="9"/>
    </row>
    <row r="77" spans="5:19" x14ac:dyDescent="0.35">
      <c r="H77">
        <v>2.0631916101271498E-2</v>
      </c>
      <c r="I77" s="9" t="s">
        <v>122</v>
      </c>
    </row>
    <row r="78" spans="5:19" x14ac:dyDescent="0.35">
      <c r="H78">
        <v>4.1263832202542997E-2</v>
      </c>
      <c r="I78" s="9" t="s">
        <v>121</v>
      </c>
    </row>
    <row r="79" spans="5:19" x14ac:dyDescent="0.35">
      <c r="H79">
        <v>2.0631916101271498E-2</v>
      </c>
      <c r="I79" t="s">
        <v>133</v>
      </c>
    </row>
    <row r="80" spans="5:19" x14ac:dyDescent="0.35">
      <c r="H80">
        <f>1-(H79+H78+H77)</f>
        <v>0.91747233559491403</v>
      </c>
      <c r="I80" t="s">
        <v>231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Sheet2</vt:lpstr>
      <vt:lpstr>Sheet1</vt:lpstr>
      <vt:lpstr>Nuclear</vt:lpstr>
      <vt:lpstr>Solar</vt:lpstr>
      <vt:lpstr>Biogas</vt:lpstr>
      <vt:lpstr>hydro</vt:lpstr>
      <vt:lpstr>Wind</vt:lpstr>
      <vt:lpstr>imports</vt:lpstr>
      <vt:lpstr>imports2</vt:lpstr>
    </vt:vector>
  </TitlesOfParts>
  <Company>Mines Paristech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Juliana STEINBACH</dc:creator>
  <cp:lastModifiedBy>Juliana STEINBACH</cp:lastModifiedBy>
  <dcterms:created xsi:type="dcterms:W3CDTF">2023-10-30T11:02:07Z</dcterms:created>
  <dcterms:modified xsi:type="dcterms:W3CDTF">2025-02-22T10:18:17Z</dcterms:modified>
</cp:coreProperties>
</file>