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teinbach\OneDrive - mines-paristech.fr\Git HySPI\clone_p\HySPI_project\"/>
    </mc:Choice>
  </mc:AlternateContent>
  <xr:revisionPtr revIDLastSave="0" documentId="13_ncr:1_{63B5FE3D-ED68-4C7A-8C2E-5DB5464292FE}" xr6:coauthVersionLast="47" xr6:coauthVersionMax="47" xr10:uidLastSave="{00000000-0000-0000-0000-000000000000}"/>
  <bookViews>
    <workbookView xWindow="-110" yWindow="-110" windowWidth="19420" windowHeight="10420" xr2:uid="{438C3E74-ED11-4139-9587-AF24C8FBC2E7}"/>
  </bookViews>
  <sheets>
    <sheet name="Sheet2" sheetId="2" r:id="rId1"/>
    <sheet name="Sheet1" sheetId="1" r:id="rId2"/>
    <sheet name="Nuclear" sheetId="6" r:id="rId3"/>
    <sheet name="Solar" sheetId="4" r:id="rId4"/>
    <sheet name="Biogas" sheetId="7" r:id="rId5"/>
    <sheet name="hydro" sheetId="3" r:id="rId6"/>
    <sheet name="Wind" sheetId="5" r:id="rId7"/>
    <sheet name="impor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B113" i="2"/>
  <c r="B76" i="2"/>
  <c r="B112" i="2"/>
  <c r="B111" i="2"/>
  <c r="B110" i="2"/>
  <c r="B73" i="2"/>
  <c r="B109" i="2"/>
  <c r="B72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75" i="2"/>
  <c r="B74" i="2"/>
  <c r="B71" i="2"/>
  <c r="B67" i="2"/>
  <c r="B66" i="2"/>
  <c r="B65" i="2"/>
  <c r="B64" i="2"/>
  <c r="B63" i="2"/>
  <c r="B62" i="2"/>
  <c r="B70" i="2"/>
  <c r="B69" i="2"/>
  <c r="B68" i="2"/>
  <c r="B61" i="2"/>
  <c r="B60" i="2"/>
  <c r="B59" i="2"/>
  <c r="B58" i="2"/>
  <c r="B57" i="2"/>
  <c r="B56" i="2"/>
  <c r="B55" i="2"/>
  <c r="B54" i="2"/>
  <c r="B53" i="2"/>
  <c r="B52" i="2"/>
  <c r="B39" i="2"/>
  <c r="B37" i="2"/>
  <c r="B36" i="2"/>
  <c r="B35" i="2"/>
  <c r="B34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38" i="2"/>
  <c r="B33" i="2"/>
  <c r="B32" i="2"/>
  <c r="B77" i="2"/>
  <c r="AL29" i="1"/>
  <c r="AL30" i="1"/>
  <c r="AL31" i="1"/>
  <c r="AL32" i="1"/>
  <c r="AL28" i="1"/>
  <c r="AL34" i="1"/>
  <c r="N4" i="8"/>
  <c r="O4" i="8"/>
  <c r="P4" i="8"/>
  <c r="Q4" i="8"/>
  <c r="R4" i="8"/>
  <c r="S4" i="8"/>
  <c r="N5" i="8"/>
  <c r="O5" i="8"/>
  <c r="P5" i="8"/>
  <c r="Q5" i="8"/>
  <c r="R5" i="8"/>
  <c r="S5" i="8"/>
  <c r="N6" i="8"/>
  <c r="O6" i="8"/>
  <c r="P6" i="8"/>
  <c r="Q6" i="8"/>
  <c r="R6" i="8"/>
  <c r="S6" i="8"/>
  <c r="N7" i="8"/>
  <c r="O7" i="8"/>
  <c r="P7" i="8"/>
  <c r="Q7" i="8"/>
  <c r="R7" i="8"/>
  <c r="S7" i="8"/>
  <c r="N8" i="8"/>
  <c r="O8" i="8"/>
  <c r="P8" i="8"/>
  <c r="Q8" i="8"/>
  <c r="R8" i="8"/>
  <c r="S8" i="8"/>
  <c r="O3" i="8"/>
  <c r="P3" i="8"/>
  <c r="Q3" i="8"/>
  <c r="R3" i="8"/>
  <c r="S3" i="8"/>
  <c r="N3" i="8"/>
  <c r="E11" i="8"/>
  <c r="E12" i="8"/>
  <c r="E13" i="8"/>
  <c r="E14" i="8"/>
  <c r="E15" i="8"/>
  <c r="E10" i="8"/>
  <c r="D16" i="8"/>
  <c r="AJ5" i="1"/>
  <c r="AJ6" i="1"/>
  <c r="AJ7" i="1"/>
  <c r="AJ8" i="1"/>
  <c r="AJ9" i="1"/>
  <c r="AJ4" i="1"/>
  <c r="A15" i="2"/>
  <c r="G51" i="2"/>
  <c r="A51" i="2"/>
  <c r="A88" i="2"/>
  <c r="O33" i="1"/>
  <c r="O34" i="1" s="1"/>
  <c r="O29" i="1"/>
  <c r="O30" i="1" s="1"/>
  <c r="G15" i="2"/>
  <c r="O26" i="1"/>
  <c r="AR21" i="1"/>
  <c r="F29" i="8"/>
  <c r="E29" i="8"/>
  <c r="F23" i="8"/>
  <c r="F24" i="8"/>
  <c r="F25" i="8"/>
  <c r="F26" i="8"/>
  <c r="F27" i="8"/>
  <c r="E23" i="8"/>
  <c r="E24" i="8"/>
  <c r="E25" i="8"/>
  <c r="E26" i="8"/>
  <c r="E27" i="8"/>
  <c r="F31" i="8"/>
  <c r="E31" i="8"/>
  <c r="F28" i="8"/>
  <c r="E28" i="8"/>
  <c r="F30" i="8"/>
  <c r="E30" i="8"/>
  <c r="AR22" i="1"/>
  <c r="AR23" i="1"/>
  <c r="AR24" i="1"/>
  <c r="AR25" i="1"/>
  <c r="AR26" i="1"/>
  <c r="AN4" i="1"/>
  <c r="AM5" i="1"/>
  <c r="AB36" i="1"/>
  <c r="AF36" i="1"/>
  <c r="V12" i="1" l="1"/>
  <c r="Y12" i="1"/>
  <c r="AC12" i="1"/>
  <c r="V13" i="1"/>
  <c r="Z13" i="1"/>
  <c r="AD13" i="1"/>
  <c r="W12" i="1"/>
  <c r="AA12" i="1"/>
  <c r="AE12" i="1"/>
  <c r="X13" i="1"/>
  <c r="AB13" i="1"/>
  <c r="X11" i="1"/>
  <c r="AC11" i="1"/>
  <c r="Y11" i="1"/>
  <c r="AE16" i="1"/>
  <c r="AA16" i="1"/>
  <c r="W16" i="1"/>
  <c r="AD15" i="1"/>
  <c r="Z15" i="1"/>
  <c r="V15" i="1"/>
  <c r="AC14" i="1"/>
  <c r="Y14" i="1"/>
  <c r="AF13" i="1"/>
  <c r="Y13" i="1"/>
  <c r="AB12" i="1"/>
  <c r="Z11" i="1"/>
  <c r="AB16" i="1"/>
  <c r="AA15" i="1"/>
  <c r="AD14" i="1"/>
  <c r="AA13" i="1"/>
  <c r="AF11" i="1"/>
  <c r="AB11" i="1"/>
  <c r="AD16" i="1"/>
  <c r="Z16" i="1"/>
  <c r="V16" i="1"/>
  <c r="AC15" i="1"/>
  <c r="Y15" i="1"/>
  <c r="AF14" i="1"/>
  <c r="AB14" i="1"/>
  <c r="X14" i="1"/>
  <c r="AE13" i="1"/>
  <c r="W13" i="1"/>
  <c r="Z12" i="1"/>
  <c r="AD11" i="1"/>
  <c r="AF16" i="1"/>
  <c r="X16" i="1"/>
  <c r="AE15" i="1"/>
  <c r="W15" i="1"/>
  <c r="Z14" i="1"/>
  <c r="V14" i="1"/>
  <c r="AD12" i="1"/>
  <c r="W11" i="1"/>
  <c r="AE11" i="1"/>
  <c r="AA11" i="1"/>
  <c r="V11" i="1"/>
  <c r="AC16" i="1"/>
  <c r="Y16" i="1"/>
  <c r="AF15" i="1"/>
  <c r="AB15" i="1"/>
  <c r="X15" i="1"/>
  <c r="AE14" i="1"/>
  <c r="AA14" i="1"/>
  <c r="W14" i="1"/>
  <c r="AC13" i="1"/>
  <c r="AF12" i="1"/>
  <c r="X12" i="1"/>
  <c r="O35" i="1"/>
  <c r="O31" i="1"/>
  <c r="AR27" i="1"/>
  <c r="AI13" i="1" l="1"/>
  <c r="V20" i="1" s="1"/>
  <c r="W29" i="1"/>
  <c r="E6" i="6" s="1"/>
  <c r="AI11" i="1"/>
  <c r="X18" i="1" s="1"/>
  <c r="AI16" i="1"/>
  <c r="V31" i="1" s="1"/>
  <c r="G8" i="6" s="1"/>
  <c r="AB23" i="1"/>
  <c r="AF28" i="1"/>
  <c r="AF20" i="1"/>
  <c r="AB28" i="1"/>
  <c r="F8" i="7" s="1"/>
  <c r="AC20" i="1"/>
  <c r="AC28" i="1"/>
  <c r="X23" i="1"/>
  <c r="X31" i="1"/>
  <c r="D8" i="4" s="1"/>
  <c r="W28" i="1"/>
  <c r="E5" i="6" s="1"/>
  <c r="W20" i="1"/>
  <c r="Z31" i="1"/>
  <c r="F8" i="5" s="1"/>
  <c r="AA28" i="1"/>
  <c r="D5" i="3" s="1"/>
  <c r="AA20" i="1"/>
  <c r="Z26" i="1"/>
  <c r="F3" i="5" s="1"/>
  <c r="X28" i="1"/>
  <c r="D5" i="4" s="1"/>
  <c r="X20" i="1"/>
  <c r="AD28" i="1"/>
  <c r="AD20" i="1"/>
  <c r="AC23" i="1"/>
  <c r="AC31" i="1"/>
  <c r="W22" i="1"/>
  <c r="AI15" i="1"/>
  <c r="X30" i="1" s="1"/>
  <c r="D7" i="4" s="1"/>
  <c r="AA23" i="1"/>
  <c r="AF30" i="1"/>
  <c r="AI14" i="1"/>
  <c r="AB21" i="1" s="1"/>
  <c r="V29" i="1"/>
  <c r="G6" i="6" s="1"/>
  <c r="AE21" i="1"/>
  <c r="Y23" i="1"/>
  <c r="Y31" i="1"/>
  <c r="D8" i="5" s="1"/>
  <c r="Z29" i="1"/>
  <c r="F6" i="5" s="1"/>
  <c r="AF23" i="1"/>
  <c r="AF31" i="1"/>
  <c r="AE28" i="1"/>
  <c r="AE20" i="1"/>
  <c r="AD31" i="1"/>
  <c r="AD23" i="1"/>
  <c r="AD29" i="1"/>
  <c r="AD21" i="1"/>
  <c r="AC29" i="1"/>
  <c r="AC21" i="1"/>
  <c r="W31" i="1"/>
  <c r="E8" i="6" s="1"/>
  <c r="W23" i="1"/>
  <c r="Z28" i="1"/>
  <c r="F5" i="5" s="1"/>
  <c r="Z20" i="1"/>
  <c r="AI12" i="1"/>
  <c r="W27" i="1" s="1"/>
  <c r="E4" i="6" s="1"/>
  <c r="AA36" i="1"/>
  <c r="AA26" i="1" l="1"/>
  <c r="D3" i="3" s="1"/>
  <c r="AE23" i="1"/>
  <c r="AC19" i="1"/>
  <c r="Z19" i="1"/>
  <c r="AD19" i="1"/>
  <c r="AG26" i="1"/>
  <c r="AH26" i="1"/>
  <c r="AH18" i="1"/>
  <c r="AG18" i="1"/>
  <c r="W26" i="1"/>
  <c r="E3" i="6" s="1"/>
  <c r="Y30" i="1"/>
  <c r="D7" i="5" s="1"/>
  <c r="AF22" i="1"/>
  <c r="AA27" i="1"/>
  <c r="D4" i="3" s="1"/>
  <c r="V30" i="1"/>
  <c r="G7" i="6" s="1"/>
  <c r="X21" i="1"/>
  <c r="Y18" i="1"/>
  <c r="Y21" i="1"/>
  <c r="AF21" i="1"/>
  <c r="AA21" i="1"/>
  <c r="AI28" i="1"/>
  <c r="W19" i="1"/>
  <c r="AF26" i="1"/>
  <c r="AH31" i="1"/>
  <c r="AG23" i="1"/>
  <c r="AH23" i="1"/>
  <c r="AG31" i="1"/>
  <c r="Z27" i="1"/>
  <c r="F4" i="5" s="1"/>
  <c r="AD27" i="1"/>
  <c r="AB30" i="1"/>
  <c r="F10" i="7" s="1"/>
  <c r="X26" i="1"/>
  <c r="D3" i="4" s="1"/>
  <c r="AB18" i="1"/>
  <c r="W18" i="1"/>
  <c r="Y19" i="1"/>
  <c r="AC22" i="1"/>
  <c r="Z30" i="1"/>
  <c r="F7" i="5" s="1"/>
  <c r="AC26" i="1"/>
  <c r="Y22" i="1"/>
  <c r="AE26" i="1"/>
  <c r="AE29" i="1"/>
  <c r="V22" i="1"/>
  <c r="Y26" i="1"/>
  <c r="D3" i="5" s="1"/>
  <c r="Y29" i="1"/>
  <c r="D6" i="5" s="1"/>
  <c r="AF29" i="1"/>
  <c r="AA29" i="1"/>
  <c r="D6" i="3" s="1"/>
  <c r="AE31" i="1"/>
  <c r="AI31" i="1" s="1"/>
  <c r="AF18" i="1"/>
  <c r="AE30" i="1"/>
  <c r="V18" i="1"/>
  <c r="AB22" i="1"/>
  <c r="AH28" i="1"/>
  <c r="AG20" i="1"/>
  <c r="AH20" i="1"/>
  <c r="AG28" i="1"/>
  <c r="Y28" i="1"/>
  <c r="D5" i="5" s="1"/>
  <c r="AD18" i="1"/>
  <c r="AH27" i="1"/>
  <c r="AG19" i="1"/>
  <c r="AH19" i="1"/>
  <c r="AG27" i="1"/>
  <c r="AE27" i="1"/>
  <c r="AB19" i="1"/>
  <c r="AF19" i="1"/>
  <c r="AA19" i="1"/>
  <c r="AH30" i="1"/>
  <c r="AG22" i="1"/>
  <c r="AH22" i="1"/>
  <c r="AG30" i="1"/>
  <c r="AA22" i="1"/>
  <c r="AD30" i="1"/>
  <c r="AB26" i="1"/>
  <c r="F6" i="7" s="1"/>
  <c r="AC18" i="1"/>
  <c r="AE18" i="1"/>
  <c r="B40" i="2" s="1"/>
  <c r="V19" i="1"/>
  <c r="AI29" i="1"/>
  <c r="AH29" i="1"/>
  <c r="AH21" i="1"/>
  <c r="AG29" i="1"/>
  <c r="AG21" i="1"/>
  <c r="X27" i="1"/>
  <c r="D4" i="4" s="1"/>
  <c r="X29" i="1"/>
  <c r="D6" i="4" s="1"/>
  <c r="V27" i="1"/>
  <c r="G4" i="6" s="1"/>
  <c r="AE19" i="1"/>
  <c r="AB27" i="1"/>
  <c r="F7" i="7" s="1"/>
  <c r="Z21" i="1"/>
  <c r="AF27" i="1"/>
  <c r="V21" i="1"/>
  <c r="X19" i="1"/>
  <c r="AA31" i="1"/>
  <c r="D8" i="3" s="1"/>
  <c r="AA30" i="1"/>
  <c r="D7" i="3" s="1"/>
  <c r="W30" i="1"/>
  <c r="E7" i="6" s="1"/>
  <c r="Y27" i="1"/>
  <c r="D4" i="5" s="1"/>
  <c r="AD22" i="1"/>
  <c r="Z18" i="1"/>
  <c r="Z23" i="1"/>
  <c r="AA18" i="1"/>
  <c r="AC30" i="1"/>
  <c r="AI30" i="1" s="1"/>
  <c r="AC27" i="1"/>
  <c r="AB20" i="1"/>
  <c r="Z22" i="1"/>
  <c r="AB31" i="1"/>
  <c r="F11" i="7" s="1"/>
  <c r="V23" i="1"/>
  <c r="AB29" i="1"/>
  <c r="F9" i="7" s="1"/>
  <c r="AE22" i="1"/>
  <c r="V26" i="1"/>
  <c r="G3" i="6" s="1"/>
  <c r="W21" i="1"/>
  <c r="V28" i="1"/>
  <c r="G5" i="6" s="1"/>
  <c r="Y20" i="1"/>
  <c r="AD26" i="1"/>
  <c r="X22" i="1"/>
  <c r="D15" i="3"/>
  <c r="E14" i="3" s="1"/>
  <c r="L14" i="3" s="1"/>
  <c r="H23" i="5"/>
  <c r="H25" i="5" s="1"/>
  <c r="H27" i="5" s="1"/>
  <c r="I23" i="5"/>
  <c r="I25" i="5" s="1"/>
  <c r="I27" i="5" s="1"/>
  <c r="J23" i="5"/>
  <c r="J24" i="5" s="1"/>
  <c r="J26" i="5" s="1"/>
  <c r="K23" i="5"/>
  <c r="K25" i="5" s="1"/>
  <c r="K27" i="5" s="1"/>
  <c r="L23" i="5"/>
  <c r="L25" i="5" s="1"/>
  <c r="L27" i="5" s="1"/>
  <c r="G23" i="5"/>
  <c r="G25" i="5" s="1"/>
  <c r="G27" i="5" s="1"/>
  <c r="D16" i="5"/>
  <c r="E14" i="5" s="1"/>
  <c r="J14" i="5" s="1"/>
  <c r="AE41" i="4"/>
  <c r="AE43" i="4" s="1"/>
  <c r="Z41" i="4"/>
  <c r="Z43" i="4" s="1"/>
  <c r="U41" i="4"/>
  <c r="U43" i="4" s="1"/>
  <c r="P41" i="4"/>
  <c r="P43" i="4" s="1"/>
  <c r="K41" i="4"/>
  <c r="K43" i="4" s="1"/>
  <c r="F41" i="4"/>
  <c r="F43" i="4" s="1"/>
  <c r="AE39" i="4"/>
  <c r="Z39" i="4"/>
  <c r="U39" i="4"/>
  <c r="P39" i="4"/>
  <c r="K39" i="4"/>
  <c r="F39" i="4"/>
  <c r="AF38" i="4"/>
  <c r="AE33" i="4" s="1"/>
  <c r="AA38" i="4"/>
  <c r="Z33" i="4" s="1"/>
  <c r="V38" i="4"/>
  <c r="U33" i="4" s="1"/>
  <c r="Q38" i="4"/>
  <c r="P33" i="4" s="1"/>
  <c r="L38" i="4"/>
  <c r="K33" i="4" s="1"/>
  <c r="G38" i="4"/>
  <c r="AF37" i="4"/>
  <c r="AE32" i="4" s="1"/>
  <c r="AA37" i="4"/>
  <c r="Z32" i="4" s="1"/>
  <c r="V37" i="4"/>
  <c r="U32" i="4" s="1"/>
  <c r="Q37" i="4"/>
  <c r="P32" i="4" s="1"/>
  <c r="L37" i="4"/>
  <c r="K32" i="4" s="1"/>
  <c r="G37" i="4"/>
  <c r="F32" i="4" s="1"/>
  <c r="D34" i="4"/>
  <c r="N24" i="1"/>
  <c r="N23" i="1"/>
  <c r="N22" i="1"/>
  <c r="N21" i="1"/>
  <c r="N20" i="1"/>
  <c r="N19" i="1"/>
  <c r="N26" i="1" s="1"/>
  <c r="P24" i="1"/>
  <c r="P21" i="1"/>
  <c r="P22" i="1"/>
  <c r="P23" i="1"/>
  <c r="P20" i="1"/>
  <c r="P19" i="1"/>
  <c r="AF18" i="4"/>
  <c r="AE13" i="4" s="1"/>
  <c r="AF17" i="4"/>
  <c r="AE21" i="4"/>
  <c r="AE23" i="4" s="1"/>
  <c r="Z21" i="4"/>
  <c r="Z23" i="4" s="1"/>
  <c r="U21" i="4"/>
  <c r="U23" i="4" s="1"/>
  <c r="AA18" i="4"/>
  <c r="Z13" i="4" s="1"/>
  <c r="AA17" i="4"/>
  <c r="AE19" i="4"/>
  <c r="Z19" i="4"/>
  <c r="V18" i="4"/>
  <c r="U13" i="4" s="1"/>
  <c r="V17" i="4"/>
  <c r="U19" i="4"/>
  <c r="F21" i="4"/>
  <c r="F23" i="4" s="1"/>
  <c r="K21" i="4"/>
  <c r="K23" i="4" s="1"/>
  <c r="P21" i="4"/>
  <c r="P23" i="4" s="1"/>
  <c r="Q18" i="4"/>
  <c r="P13" i="4" s="1"/>
  <c r="Q17" i="4"/>
  <c r="P19" i="4"/>
  <c r="L18" i="4"/>
  <c r="K13" i="4" s="1"/>
  <c r="L17" i="4"/>
  <c r="K19" i="4"/>
  <c r="G26" i="4"/>
  <c r="G25" i="4"/>
  <c r="G18" i="4"/>
  <c r="F33" i="4" s="1"/>
  <c r="G17" i="4"/>
  <c r="F19" i="4"/>
  <c r="D14" i="4"/>
  <c r="AI20" i="1" l="1"/>
  <c r="AJ30" i="1"/>
  <c r="E7" i="8"/>
  <c r="AI22" i="1"/>
  <c r="AJ29" i="1"/>
  <c r="E6" i="8"/>
  <c r="AI21" i="1"/>
  <c r="AJ28" i="1"/>
  <c r="E5" i="8"/>
  <c r="AJ31" i="1"/>
  <c r="E8" i="8"/>
  <c r="E4" i="8"/>
  <c r="AI26" i="1"/>
  <c r="AI23" i="1"/>
  <c r="AI27" i="1"/>
  <c r="AJ27" i="1" s="1"/>
  <c r="AI19" i="1"/>
  <c r="AJ26" i="1"/>
  <c r="E3" i="8"/>
  <c r="K12" i="4"/>
  <c r="P12" i="4"/>
  <c r="P31" i="4"/>
  <c r="AE11" i="4"/>
  <c r="Z11" i="4"/>
  <c r="F13" i="4"/>
  <c r="U11" i="4"/>
  <c r="K11" i="4"/>
  <c r="F12" i="4"/>
  <c r="U12" i="4"/>
  <c r="G24" i="5"/>
  <c r="G26" i="5" s="1"/>
  <c r="I24" i="5"/>
  <c r="I26" i="5" s="1"/>
  <c r="F31" i="4"/>
  <c r="Z31" i="4"/>
  <c r="K31" i="4"/>
  <c r="U31" i="4"/>
  <c r="AE31" i="4"/>
  <c r="I14" i="5"/>
  <c r="F11" i="4"/>
  <c r="I14" i="3"/>
  <c r="G14" i="3"/>
  <c r="J14" i="3"/>
  <c r="K14" i="3"/>
  <c r="H14" i="3"/>
  <c r="E13" i="3"/>
  <c r="L14" i="5"/>
  <c r="H14" i="5"/>
  <c r="L24" i="5"/>
  <c r="L26" i="5" s="1"/>
  <c r="H24" i="5"/>
  <c r="H26" i="5" s="1"/>
  <c r="J25" i="5"/>
  <c r="J27" i="5" s="1"/>
  <c r="G14" i="5"/>
  <c r="K14" i="5"/>
  <c r="K24" i="5"/>
  <c r="K26" i="5" s="1"/>
  <c r="E13" i="5"/>
  <c r="E15" i="5"/>
  <c r="AE12" i="4"/>
  <c r="Z12" i="4"/>
  <c r="P11" i="4"/>
  <c r="K4" i="8" l="1"/>
  <c r="I4" i="8"/>
  <c r="G4" i="8"/>
  <c r="L4" i="8"/>
  <c r="J4" i="8"/>
  <c r="H4" i="8"/>
  <c r="L5" i="8"/>
  <c r="J5" i="8"/>
  <c r="H5" i="8"/>
  <c r="K5" i="8"/>
  <c r="I5" i="8"/>
  <c r="G5" i="8"/>
  <c r="L3" i="8"/>
  <c r="J3" i="8"/>
  <c r="H3" i="8"/>
  <c r="K3" i="8"/>
  <c r="I3" i="8"/>
  <c r="G3" i="8"/>
  <c r="K8" i="8"/>
  <c r="I8" i="8"/>
  <c r="G8" i="8"/>
  <c r="J8" i="8"/>
  <c r="L8" i="8"/>
  <c r="H8" i="8"/>
  <c r="K7" i="8"/>
  <c r="I7" i="8"/>
  <c r="G7" i="8"/>
  <c r="L7" i="8"/>
  <c r="J7" i="8"/>
  <c r="H7" i="8"/>
  <c r="L6" i="8"/>
  <c r="J6" i="8"/>
  <c r="H6" i="8"/>
  <c r="G6" i="8"/>
  <c r="I6" i="8"/>
  <c r="K6" i="8"/>
  <c r="I13" i="3"/>
  <c r="L13" i="3"/>
  <c r="H13" i="3"/>
  <c r="K13" i="3"/>
  <c r="J13" i="3"/>
  <c r="G13" i="3"/>
  <c r="I15" i="5"/>
  <c r="J15" i="5"/>
  <c r="H15" i="5"/>
  <c r="K15" i="5"/>
  <c r="G15" i="5"/>
  <c r="L15" i="5"/>
  <c r="L13" i="5"/>
  <c r="H13" i="5"/>
  <c r="I13" i="5"/>
  <c r="K13" i="5"/>
  <c r="G13" i="5"/>
  <c r="J13" i="5"/>
  <c r="AF8" i="1"/>
  <c r="AF7" i="1"/>
  <c r="AI7" i="1" s="1"/>
  <c r="AF6" i="1"/>
  <c r="AI6" i="1" s="1"/>
  <c r="AF5" i="1"/>
  <c r="AF4" i="1"/>
  <c r="AF9" i="1"/>
  <c r="AL9" i="1"/>
  <c r="L9" i="1"/>
  <c r="AM9" i="1" s="1"/>
  <c r="S4" i="1"/>
  <c r="AQ5" i="1"/>
  <c r="AQ6" i="1"/>
  <c r="AQ7" i="1"/>
  <c r="AQ8" i="1"/>
  <c r="AQ9" i="1"/>
  <c r="AQ4" i="1"/>
  <c r="AP5" i="1"/>
  <c r="AP6" i="1"/>
  <c r="AP7" i="1"/>
  <c r="AP8" i="1"/>
  <c r="AP9" i="1"/>
  <c r="AP4" i="1"/>
  <c r="AO5" i="1"/>
  <c r="AO6" i="1"/>
  <c r="AO7" i="1"/>
  <c r="AO8" i="1"/>
  <c r="AO9" i="1"/>
  <c r="AO4" i="1"/>
  <c r="AN5" i="1"/>
  <c r="AN6" i="1"/>
  <c r="AN7" i="1"/>
  <c r="AN8" i="1"/>
  <c r="AN9" i="1"/>
  <c r="AM6" i="1"/>
  <c r="AM7" i="1"/>
  <c r="AM8" i="1"/>
  <c r="AM4" i="1"/>
  <c r="AL8" i="1"/>
  <c r="AL7" i="1"/>
  <c r="V9" i="1"/>
  <c r="AL5" i="1"/>
  <c r="AL6" i="1"/>
  <c r="AL4" i="1"/>
  <c r="S5" i="1"/>
  <c r="S6" i="1"/>
  <c r="S7" i="1"/>
  <c r="S8" i="1"/>
  <c r="H5" i="1"/>
  <c r="I5" i="1" s="1"/>
  <c r="H6" i="1"/>
  <c r="I6" i="1" s="1"/>
  <c r="H7" i="1"/>
  <c r="I7" i="1" s="1"/>
  <c r="H8" i="1"/>
  <c r="I8" i="1" s="1"/>
  <c r="H9" i="1"/>
  <c r="I9" i="1" s="1"/>
  <c r="H4" i="1"/>
  <c r="I4" i="1" s="1"/>
  <c r="AI9" i="1" l="1"/>
  <c r="AI4" i="1"/>
  <c r="AI8" i="1"/>
  <c r="AI5" i="1"/>
  <c r="H16" i="5"/>
  <c r="I16" i="5"/>
  <c r="J16" i="5"/>
  <c r="G16" i="5"/>
  <c r="L16" i="5"/>
  <c r="S9" i="1"/>
  <c r="K16" i="5"/>
  <c r="AS5" i="1"/>
  <c r="AS9" i="1"/>
  <c r="AS6" i="1"/>
  <c r="AS4" i="1"/>
  <c r="AS8" i="1"/>
  <c r="AS7" i="1"/>
  <c r="AB11" i="4" l="1"/>
  <c r="W12" i="4"/>
  <c r="W31" i="4"/>
  <c r="W13" i="4"/>
  <c r="W33" i="4"/>
  <c r="W32" i="4"/>
  <c r="W11" i="4"/>
  <c r="B114" i="2"/>
  <c r="AB31" i="4" l="1"/>
  <c r="AB12" i="4"/>
  <c r="AB13" i="4"/>
  <c r="AB32" i="4"/>
  <c r="M31" i="4"/>
  <c r="M13" i="4"/>
  <c r="M32" i="4"/>
  <c r="M12" i="4"/>
  <c r="M11" i="4"/>
  <c r="M33" i="4"/>
  <c r="AB33" i="4"/>
  <c r="AI18" i="1"/>
  <c r="W14" i="4"/>
  <c r="R12" i="4"/>
  <c r="R33" i="4"/>
  <c r="R32" i="4"/>
  <c r="R31" i="4"/>
  <c r="R11" i="4"/>
  <c r="R13" i="4"/>
  <c r="AG12" i="4"/>
  <c r="AG31" i="4"/>
  <c r="AG11" i="4"/>
  <c r="AG32" i="4"/>
  <c r="AG13" i="4"/>
  <c r="AG33" i="4"/>
  <c r="W34" i="4"/>
  <c r="H32" i="4"/>
  <c r="H31" i="4"/>
  <c r="H11" i="4"/>
  <c r="H33" i="4"/>
  <c r="H12" i="4"/>
  <c r="H13" i="4"/>
  <c r="AB34" i="4" l="1"/>
  <c r="AB14" i="4"/>
  <c r="M14" i="4"/>
  <c r="M34" i="4"/>
  <c r="R34" i="4"/>
  <c r="AG14" i="4"/>
  <c r="AG34" i="4"/>
  <c r="I29" i="4"/>
  <c r="I31" i="4" s="1"/>
  <c r="H34" i="4"/>
  <c r="I9" i="4"/>
  <c r="I11" i="4" s="1"/>
  <c r="H14" i="4"/>
  <c r="R14" i="4"/>
  <c r="I32" i="4" l="1"/>
  <c r="I12" i="4"/>
</calcChain>
</file>

<file path=xl/sharedStrings.xml><?xml version="1.0" encoding="utf-8"?>
<sst xmlns="http://schemas.openxmlformats.org/spreadsheetml/2006/main" count="888" uniqueCount="200">
  <si>
    <t>T</t>
  </si>
  <si>
    <t>NN</t>
  </si>
  <si>
    <t>EN</t>
  </si>
  <si>
    <t>S</t>
  </si>
  <si>
    <t>LW</t>
  </si>
  <si>
    <t>SW</t>
  </si>
  <si>
    <t>H</t>
  </si>
  <si>
    <t>R</t>
  </si>
  <si>
    <t>Installed capacity (GW)</t>
  </si>
  <si>
    <t>Production (TWh)</t>
  </si>
  <si>
    <t>day</t>
  </si>
  <si>
    <t>hour</t>
  </si>
  <si>
    <t>BG</t>
  </si>
  <si>
    <t>BE</t>
  </si>
  <si>
    <t>Total</t>
  </si>
  <si>
    <t>to produce 1kWh:</t>
  </si>
  <si>
    <t>cutoff</t>
  </si>
  <si>
    <t>Database</t>
  </si>
  <si>
    <t>format</t>
  </si>
  <si>
    <t>Excel spreadsheet</t>
  </si>
  <si>
    <t>Activity</t>
  </si>
  <si>
    <t>production amount</t>
  </si>
  <si>
    <t>comment</t>
  </si>
  <si>
    <t>reference product</t>
  </si>
  <si>
    <t>location</t>
  </si>
  <si>
    <t>unit</t>
  </si>
  <si>
    <t>Exchanges</t>
  </si>
  <si>
    <t>name</t>
  </si>
  <si>
    <t>amount</t>
  </si>
  <si>
    <t>categories</t>
  </si>
  <si>
    <t>type</t>
  </si>
  <si>
    <t>M0</t>
  </si>
  <si>
    <t>FR</t>
  </si>
  <si>
    <t>Electricity, Low Voltage</t>
  </si>
  <si>
    <t>electricity production, photovoltaic, 3kWp slanted-roof installation, multi-Si, panel, mounted - FR</t>
  </si>
  <si>
    <t>electricity production, photovoltaic, 3kWp slanted-roof installation, single-Si, panel, mounted - FR</t>
  </si>
  <si>
    <t>electricity production, photovoltaic, 570kWp open ground installation, multi-Si - FR</t>
  </si>
  <si>
    <t>roof</t>
  </si>
  <si>
    <t>groung</t>
  </si>
  <si>
    <t>total</t>
  </si>
  <si>
    <t>RTE M0</t>
  </si>
  <si>
    <t>Existant</t>
  </si>
  <si>
    <t>entsoe</t>
  </si>
  <si>
    <t>roof m</t>
  </si>
  <si>
    <t>roof s</t>
  </si>
  <si>
    <t>%</t>
  </si>
  <si>
    <t>current inputs</t>
  </si>
  <si>
    <t>future input M0</t>
  </si>
  <si>
    <t>future %M0</t>
  </si>
  <si>
    <t>RTE M1</t>
  </si>
  <si>
    <t>future %M1</t>
  </si>
  <si>
    <t>future input M1</t>
  </si>
  <si>
    <t>M1</t>
  </si>
  <si>
    <t>M23</t>
  </si>
  <si>
    <t>future %M23</t>
  </si>
  <si>
    <t>future input M23</t>
  </si>
  <si>
    <t>RTE M23</t>
  </si>
  <si>
    <t>N1</t>
  </si>
  <si>
    <t>N2</t>
  </si>
  <si>
    <t>N03</t>
  </si>
  <si>
    <t>future %N1</t>
  </si>
  <si>
    <t>future %N2</t>
  </si>
  <si>
    <t>future %N03</t>
  </si>
  <si>
    <t>Electricity, High Voltage</t>
  </si>
  <si>
    <t>electricity production, wind, 1-3MW turbine, offshore - FR</t>
  </si>
  <si>
    <t>electricity production, wind, 1-3MW turbine, onshore - FR</t>
  </si>
  <si>
    <t>electricity production, wind, &lt;1MW turbine, onshore - FR</t>
  </si>
  <si>
    <t>electricity production, wind, &gt;3MW turbine, onshore - FR</t>
  </si>
  <si>
    <t>Percentage multi/single</t>
  </si>
  <si>
    <t>premise 17/83 residential/commercial</t>
  </si>
  <si>
    <t>existant onshore</t>
  </si>
  <si>
    <t>I dont know what is the existant proportion of roof and ground solar pannel to be replaced…</t>
  </si>
  <si>
    <t>scenario</t>
  </si>
  <si>
    <t>onshore</t>
  </si>
  <si>
    <t>offshore</t>
  </si>
  <si>
    <t>electricity production, wind, 1-3MW turbine, offshore Flotant- FR</t>
  </si>
  <si>
    <t>electricity production, hydro, reservoir, alpine region - FR</t>
  </si>
  <si>
    <t>electricity production, hydro, run-of-river - FR</t>
  </si>
  <si>
    <t>electricity production, nuclear, pressure water reactor - FR</t>
  </si>
  <si>
    <t>Bioenergy</t>
  </si>
  <si>
    <t>Battery</t>
  </si>
  <si>
    <t>tidal</t>
  </si>
  <si>
    <t>hydrogen</t>
  </si>
  <si>
    <t>rest</t>
  </si>
  <si>
    <t>heat and power co-generation, biogas, gas engine - FR</t>
  </si>
  <si>
    <t>fixed</t>
  </si>
  <si>
    <t>float</t>
  </si>
  <si>
    <t>transmission network construction, electricity, high voltage</t>
  </si>
  <si>
    <t>electricity production, from hydrogen, FE2050</t>
  </si>
  <si>
    <t>electricity production, from stationary battery, FE2050</t>
  </si>
  <si>
    <t>electricity production, from vehicle-to-grid, FE2050</t>
  </si>
  <si>
    <t>electricity production, hydro, pumped storage</t>
  </si>
  <si>
    <t>electricity production, hydro, reservoir, alpine region</t>
  </si>
  <si>
    <t>electricity production, hydro, run-of-river</t>
  </si>
  <si>
    <t>electricity production, natural gas, combined cycle power plant</t>
  </si>
  <si>
    <t>electricity production, photovoltaic</t>
  </si>
  <si>
    <t>electricity production, wave energy converter</t>
  </si>
  <si>
    <t>electricity production, wind, 1-3MW turbine, offshore</t>
  </si>
  <si>
    <t>electricity production, wind, 1-3MW turbine, onshore</t>
  </si>
  <si>
    <t>heat and power co-generation, wood chips, 6667 kW</t>
  </si>
  <si>
    <t>kilometer</t>
  </si>
  <si>
    <t>treatment of municipal solid waste, incineration</t>
  </si>
  <si>
    <t>transmission network, electricity, high voltage direct current aerial line</t>
  </si>
  <si>
    <t>transmission network, electricity, high voltage direct current land cable</t>
  </si>
  <si>
    <t>transmission network, electricity, high voltage direct current subsea cable</t>
  </si>
  <si>
    <t>ass rest</t>
  </si>
  <si>
    <t>New Nuclear</t>
  </si>
  <si>
    <t>Existing Nuclear</t>
  </si>
  <si>
    <t>Solar</t>
  </si>
  <si>
    <t>Land Wind (onshore)</t>
  </si>
  <si>
    <t>Sea Wind (offshore)</t>
  </si>
  <si>
    <t>Hydropower</t>
  </si>
  <si>
    <t>Rest</t>
  </si>
  <si>
    <t>Percentage</t>
  </si>
  <si>
    <t>from premise:</t>
  </si>
  <si>
    <t>efficiency</t>
  </si>
  <si>
    <t>=</t>
  </si>
  <si>
    <t>&lt;</t>
  </si>
  <si>
    <t>&lt;/=</t>
  </si>
  <si>
    <t>RER</t>
  </si>
  <si>
    <t>kWh</t>
  </si>
  <si>
    <t>RTE scenarios adapted from Ecoinvent - no background data altered</t>
  </si>
  <si>
    <t>electricity production, photovoltaic, 3kWp slanted-roof installation, multi-Si, panel, mounted</t>
  </si>
  <si>
    <t>electricity production, photovoltaic, 3kWp slanted-roof installation, single-Si, panel, mounted</t>
  </si>
  <si>
    <t>electricity production, wind, &gt;3MW turbine, onshore</t>
  </si>
  <si>
    <t>market for transmission network, electricity, high voltage direct current land cable</t>
  </si>
  <si>
    <t>market for transmission network, electricity, high voltage direct current aerial line</t>
  </si>
  <si>
    <t>market for sulfur hexafluoride, liquid</t>
  </si>
  <si>
    <t>GLO</t>
  </si>
  <si>
    <t>Europe without Switzerland</t>
  </si>
  <si>
    <t>market for transmission network, electricity, medium voltage</t>
  </si>
  <si>
    <t>market for distribution network, electricity, low voltage</t>
  </si>
  <si>
    <t>market for water, deionised</t>
  </si>
  <si>
    <t>IS</t>
  </si>
  <si>
    <t>CH</t>
  </si>
  <si>
    <t xml:space="preserve">RTE scenarios </t>
  </si>
  <si>
    <t>electricity production, wind, &lt;1MW turbine, onshore</t>
  </si>
  <si>
    <t>electricity production, nuclear, pressure water reactor</t>
  </si>
  <si>
    <t>electricity production, photovoltaic, 570kWp open ground installation, multi-Si</t>
  </si>
  <si>
    <t>technosphere</t>
  </si>
  <si>
    <t>proxy for flotant</t>
  </si>
  <si>
    <t xml:space="preserve"> </t>
  </si>
  <si>
    <t>heat and power co-generation, biogas, gas engine </t>
  </si>
  <si>
    <t>skip</t>
  </si>
  <si>
    <t>km</t>
  </si>
  <si>
    <t>kg</t>
  </si>
  <si>
    <t>to be build</t>
  </si>
  <si>
    <t xml:space="preserve">solar efficiency </t>
  </si>
  <si>
    <t>Source: IEA World Energy Balances https://www.iea.org/data-and-statistics/data-product/world-energy-statistics-and-balances</t>
  </si>
  <si>
    <t>Documentation: undefined</t>
  </si>
  <si>
    <t>This data is subject to the IEA's terms and conditions: https://www.iea.org/terms</t>
  </si>
  <si>
    <t>Imports</t>
  </si>
  <si>
    <t>Exports</t>
  </si>
  <si>
    <t>Units</t>
  </si>
  <si>
    <t>TJ</t>
  </si>
  <si>
    <t>TWh</t>
  </si>
  <si>
    <t>from the plot</t>
  </si>
  <si>
    <t>market for electricity, low voltage M1</t>
  </si>
  <si>
    <t>market for electricity, low voltage M23</t>
  </si>
  <si>
    <t>electricity, low voltage M23</t>
  </si>
  <si>
    <t>electricity, high voltage</t>
  </si>
  <si>
    <t>electricity, low voltage</t>
  </si>
  <si>
    <t>distribution network, electricity, low voltage</t>
  </si>
  <si>
    <t>proxy for the rest</t>
  </si>
  <si>
    <t>sulfur hexafluoride, liquid</t>
  </si>
  <si>
    <t>transmission network, electricity, medium voltage</t>
  </si>
  <si>
    <t>water, deionised</t>
  </si>
  <si>
    <t>market for electricity, high voltage</t>
  </si>
  <si>
    <t>market for transmission network, electricity, high voltage direct current subsea cable</t>
  </si>
  <si>
    <t>High-medium</t>
  </si>
  <si>
    <t>medium-low</t>
  </si>
  <si>
    <t>water to adjust the proxy value used in "rest" based on the hydrogen percentage</t>
  </si>
  <si>
    <t>electricity</t>
  </si>
  <si>
    <t>sulfur</t>
  </si>
  <si>
    <t>proxy for flotant: data provided by Tsai et al. 2016 for fixed foundations of 3 MW wind turbines and Weinzettel et al., 2008 for a spar floating foundations of 5 MW wind turbines.</t>
  </si>
  <si>
    <t>market for electricity, low voltage M0</t>
  </si>
  <si>
    <t>Imp</t>
  </si>
  <si>
    <t>Exp</t>
  </si>
  <si>
    <t>Total-expot</t>
  </si>
  <si>
    <t>EI</t>
  </si>
  <si>
    <t>new</t>
  </si>
  <si>
    <t>IT</t>
  </si>
  <si>
    <t>GB</t>
  </si>
  <si>
    <t>DE</t>
  </si>
  <si>
    <t>ES</t>
  </si>
  <si>
    <t>electricity, high voltage, import from IT</t>
  </si>
  <si>
    <t>electricity, high voltage, import from GB</t>
  </si>
  <si>
    <t>electricity, high voltage, import from DE</t>
  </si>
  <si>
    <t>electricity, high voltage, import from CH</t>
  </si>
  <si>
    <t>electricity, high voltage, import from BE</t>
  </si>
  <si>
    <t>electricity, high voltage, import from ES</t>
  </si>
  <si>
    <t>production</t>
  </si>
  <si>
    <t>H-H</t>
  </si>
  <si>
    <t>H-M</t>
  </si>
  <si>
    <t>M-M</t>
  </si>
  <si>
    <t>M-L</t>
  </si>
  <si>
    <t>L-L</t>
  </si>
  <si>
    <t>demand 2050</t>
  </si>
  <si>
    <t>demand 2019</t>
  </si>
  <si>
    <t>demand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</si>
</sst>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0"/>
    <numFmt numFmtId="166" formatCode="0.000E+00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sz val="12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11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4" fillId="0" borderId="0" xfId="0" applyFont="1" applyAlignment="1">
      <alignment vertical="center" wrapText="1"/>
    </xf>
    <xf numFmtId="2" fontId="0" fillId="0" borderId="0" xfId="0" applyNumberFormat="1"/>
    <xf numFmtId="165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5" xfId="0" applyNumberFormat="1" applyBorder="1"/>
    <xf numFmtId="0" fontId="3" fillId="0" borderId="1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0" xfId="0" applyNumberFormat="1"/>
    <xf numFmtId="2" fontId="3" fillId="0" borderId="0" xfId="0" applyNumberFormat="1" applyFont="1"/>
    <xf numFmtId="11" fontId="2" fillId="0" borderId="0" xfId="0" applyNumberFormat="1" applyFont="1"/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right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1" fontId="2" fillId="0" borderId="9" xfId="0" applyNumberFormat="1" applyFont="1" applyBorder="1"/>
    <xf numFmtId="0" fontId="2" fillId="0" borderId="13" xfId="0" applyFont="1" applyBorder="1"/>
    <xf numFmtId="0" fontId="2" fillId="0" borderId="7" xfId="0" applyFont="1" applyBorder="1"/>
    <xf numFmtId="0" fontId="2" fillId="0" borderId="6" xfId="0" applyFont="1" applyBorder="1"/>
    <xf numFmtId="11" fontId="0" fillId="0" borderId="0" xfId="0" applyNumberFormat="1"/>
    <xf numFmtId="0" fontId="3" fillId="0" borderId="0" xfId="0" applyFont="1"/>
    <xf numFmtId="0" fontId="6" fillId="0" borderId="9" xfId="0" applyFont="1" applyBorder="1"/>
    <xf numFmtId="9" fontId="0" fillId="0" borderId="0" xfId="0" applyNumberFormat="1"/>
  </cellXfs>
  <cellStyles count="3">
    <cellStyle name="Normal" xfId="0" builtinId="0"/>
    <cellStyle name="Normal 11 3" xfId="1" xr:uid="{AB52BC84-9BFB-4AF6-AA80-3E9CC2DF8DCF}"/>
    <cellStyle name="Normal 2" xfId="2" xr:uid="{CF920C59-9FB1-4708-BCF6-2860AECF2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DF1C-11B7-467D-8C5A-F8506BBAF7E1}">
  <dimension ref="A1:H114"/>
  <sheetViews>
    <sheetView tabSelected="1" topLeftCell="A29" workbookViewId="0">
      <selection activeCell="B31" sqref="B31"/>
    </sheetView>
  </sheetViews>
  <sheetFormatPr defaultRowHeight="14.5" x14ac:dyDescent="0.35"/>
  <cols>
    <col min="1" max="1" width="71" customWidth="1"/>
    <col min="2" max="2" width="12.1796875" style="35" customWidth="1"/>
    <col min="3" max="3" width="9.1796875" customWidth="1"/>
    <col min="4" max="4" width="4.90625" customWidth="1"/>
    <col min="5" max="5" width="9.26953125" bestFit="1" customWidth="1"/>
    <col min="6" max="6" width="29.54296875" customWidth="1"/>
    <col min="7" max="7" width="21.36328125" bestFit="1" customWidth="1"/>
  </cols>
  <sheetData>
    <row r="1" spans="1:8" x14ac:dyDescent="0.35">
      <c r="A1" t="s">
        <v>16</v>
      </c>
      <c r="B1" s="35">
        <v>8</v>
      </c>
    </row>
    <row r="2" spans="1:8" x14ac:dyDescent="0.35">
      <c r="A2" t="s">
        <v>17</v>
      </c>
      <c r="B2" s="35" t="s">
        <v>135</v>
      </c>
    </row>
    <row r="3" spans="1:8" x14ac:dyDescent="0.35">
      <c r="A3" t="s">
        <v>18</v>
      </c>
      <c r="B3" s="35" t="s">
        <v>19</v>
      </c>
    </row>
    <row r="7" spans="1:8" x14ac:dyDescent="0.35">
      <c r="A7" s="36" t="s">
        <v>20</v>
      </c>
      <c r="B7" s="35" t="s">
        <v>175</v>
      </c>
    </row>
    <row r="8" spans="1:8" x14ac:dyDescent="0.35">
      <c r="A8" t="s">
        <v>21</v>
      </c>
      <c r="B8" s="35">
        <v>1</v>
      </c>
    </row>
    <row r="9" spans="1:8" x14ac:dyDescent="0.35">
      <c r="A9" t="s">
        <v>22</v>
      </c>
      <c r="B9" s="35" t="s">
        <v>121</v>
      </c>
    </row>
    <row r="10" spans="1:8" x14ac:dyDescent="0.35">
      <c r="A10" t="s">
        <v>23</v>
      </c>
      <c r="B10" s="35" t="s">
        <v>160</v>
      </c>
    </row>
    <row r="11" spans="1:8" x14ac:dyDescent="0.35">
      <c r="A11" t="s">
        <v>24</v>
      </c>
      <c r="B11" s="35" t="s">
        <v>32</v>
      </c>
    </row>
    <row r="12" spans="1:8" x14ac:dyDescent="0.35">
      <c r="A12" t="s">
        <v>25</v>
      </c>
      <c r="B12" s="35" t="s">
        <v>120</v>
      </c>
    </row>
    <row r="13" spans="1:8" x14ac:dyDescent="0.35">
      <c r="A13" t="s">
        <v>26</v>
      </c>
    </row>
    <row r="14" spans="1:8" x14ac:dyDescent="0.35">
      <c r="A14" t="s">
        <v>27</v>
      </c>
      <c r="B14" s="35" t="s">
        <v>28</v>
      </c>
      <c r="C14" t="s">
        <v>24</v>
      </c>
      <c r="D14" t="s">
        <v>25</v>
      </c>
      <c r="E14" t="s">
        <v>29</v>
      </c>
      <c r="F14" t="s">
        <v>30</v>
      </c>
      <c r="G14" t="s">
        <v>23</v>
      </c>
      <c r="H14" t="s">
        <v>22</v>
      </c>
    </row>
    <row r="15" spans="1:8" x14ac:dyDescent="0.35">
      <c r="A15" t="str">
        <f>B7</f>
        <v>market for electricity, low voltage M0</v>
      </c>
      <c r="B15" s="35">
        <v>1</v>
      </c>
      <c r="C15" t="s">
        <v>32</v>
      </c>
      <c r="D15" t="s">
        <v>120</v>
      </c>
      <c r="F15" t="s">
        <v>191</v>
      </c>
      <c r="G15" t="str">
        <f>B10</f>
        <v>electricity, high voltage</v>
      </c>
    </row>
    <row r="16" spans="1:8" x14ac:dyDescent="0.35">
      <c r="A16" t="s">
        <v>92</v>
      </c>
      <c r="B16" s="35">
        <f>Sheet1!L38*Sheet1!L40*(hydro!G13+hydro!G13*Sheet1!L37)</f>
        <v>1.6529066658127391E-2</v>
      </c>
      <c r="C16" t="s">
        <v>32</v>
      </c>
      <c r="D16" t="s">
        <v>120</v>
      </c>
      <c r="F16" t="s">
        <v>139</v>
      </c>
      <c r="G16" t="s">
        <v>160</v>
      </c>
    </row>
    <row r="17" spans="1:8" x14ac:dyDescent="0.35">
      <c r="A17" t="s">
        <v>93</v>
      </c>
      <c r="B17" s="35">
        <f>Sheet1!L38*Sheet1!L40*(hydro!G14+hydro!G14*Sheet1!L37)</f>
        <v>8.6780036145868322E-2</v>
      </c>
      <c r="C17" t="s">
        <v>32</v>
      </c>
      <c r="D17" t="s">
        <v>120</v>
      </c>
      <c r="F17" t="s">
        <v>139</v>
      </c>
      <c r="G17" t="s">
        <v>160</v>
      </c>
    </row>
    <row r="18" spans="1:8" x14ac:dyDescent="0.35">
      <c r="A18" t="s">
        <v>98</v>
      </c>
      <c r="B18" s="35">
        <f>Sheet1!L38*Sheet1!L40*(Wind!G13+Wind!G13*Sheet1!L37)</f>
        <v>0.18090965047945351</v>
      </c>
      <c r="C18" t="s">
        <v>32</v>
      </c>
      <c r="D18" t="s">
        <v>120</v>
      </c>
      <c r="F18" t="s">
        <v>139</v>
      </c>
      <c r="G18" t="s">
        <v>160</v>
      </c>
    </row>
    <row r="19" spans="1:8" x14ac:dyDescent="0.35">
      <c r="A19" s="9" t="s">
        <v>136</v>
      </c>
      <c r="B19" s="35">
        <f>Sheet1!L38*Sheet1!L40*(Wind!G14+Wind!G14*Sheet1!L37)</f>
        <v>1.1626813164630379E-2</v>
      </c>
      <c r="C19" t="s">
        <v>32</v>
      </c>
      <c r="D19" t="s">
        <v>120</v>
      </c>
      <c r="F19" t="s">
        <v>139</v>
      </c>
      <c r="G19" t="s">
        <v>160</v>
      </c>
    </row>
    <row r="20" spans="1:8" x14ac:dyDescent="0.35">
      <c r="A20" t="s">
        <v>124</v>
      </c>
      <c r="B20" s="35">
        <f>Sheet1!L38*Sheet1!L40*(Wind!G15+Wind!G15*Sheet1!L37)</f>
        <v>7.4735902053471982E-4</v>
      </c>
      <c r="C20" t="s">
        <v>32</v>
      </c>
      <c r="D20" t="s">
        <v>120</v>
      </c>
      <c r="F20" t="s">
        <v>139</v>
      </c>
      <c r="G20" t="s">
        <v>160</v>
      </c>
    </row>
    <row r="21" spans="1:8" x14ac:dyDescent="0.35">
      <c r="A21" t="s">
        <v>97</v>
      </c>
      <c r="B21" s="35">
        <f>Sheet1!L38*Sheet1!L40*(Wind!G26+Wind!G26*Sheet1!L37)</f>
        <v>0.11573726554733357</v>
      </c>
      <c r="C21" t="s">
        <v>32</v>
      </c>
      <c r="D21" t="s">
        <v>120</v>
      </c>
      <c r="F21" t="s">
        <v>139</v>
      </c>
      <c r="G21" t="s">
        <v>160</v>
      </c>
    </row>
    <row r="22" spans="1:8" x14ac:dyDescent="0.35">
      <c r="A22" t="s">
        <v>97</v>
      </c>
      <c r="B22" s="35">
        <f>Sheet1!L38*Sheet1!L40*(Wind!G27+Wind!G27*Sheet1!L37)</f>
        <v>0.17360589832100032</v>
      </c>
      <c r="C22" t="s">
        <v>32</v>
      </c>
      <c r="D22" t="s">
        <v>120</v>
      </c>
      <c r="F22" t="s">
        <v>139</v>
      </c>
      <c r="G22" t="s">
        <v>160</v>
      </c>
      <c r="H22" t="s">
        <v>174</v>
      </c>
    </row>
    <row r="23" spans="1:8" x14ac:dyDescent="0.35">
      <c r="A23" s="10" t="s">
        <v>142</v>
      </c>
      <c r="B23" s="35">
        <f>Sheet1!L38*Sheet1!L40*(Biogas!F6+Biogas!F6*Sheet1!L37)</f>
        <v>1.2687082800490704E-2</v>
      </c>
      <c r="C23" t="s">
        <v>32</v>
      </c>
      <c r="D23" t="s">
        <v>120</v>
      </c>
      <c r="F23" t="s">
        <v>139</v>
      </c>
      <c r="G23" t="s">
        <v>160</v>
      </c>
    </row>
    <row r="24" spans="1:8" x14ac:dyDescent="0.35">
      <c r="A24" t="s">
        <v>167</v>
      </c>
      <c r="B24" s="35">
        <f>Sheet1!L38*Sheet1!L40*(Sheet1!AI26+Sheet1!AI26*Sheet1!L37)</f>
        <v>7.3015456117109773E-2</v>
      </c>
      <c r="C24" t="s">
        <v>133</v>
      </c>
      <c r="D24" t="s">
        <v>120</v>
      </c>
      <c r="F24" t="s">
        <v>139</v>
      </c>
      <c r="G24" t="s">
        <v>160</v>
      </c>
      <c r="H24" t="s">
        <v>163</v>
      </c>
    </row>
    <row r="25" spans="1:8" x14ac:dyDescent="0.35">
      <c r="A25" t="s">
        <v>185</v>
      </c>
      <c r="B25" s="35">
        <f>Sheet1!L38*Sheet1!L40*(imports!N3+imports!N3*Sheet1!L37)</f>
        <v>3.7662234877724539E-3</v>
      </c>
      <c r="C25" t="s">
        <v>32</v>
      </c>
      <c r="D25" t="s">
        <v>120</v>
      </c>
      <c r="F25" t="s">
        <v>139</v>
      </c>
      <c r="G25" t="s">
        <v>160</v>
      </c>
    </row>
    <row r="26" spans="1:8" x14ac:dyDescent="0.35">
      <c r="A26" t="s">
        <v>186</v>
      </c>
      <c r="B26" s="35">
        <f>Sheet1!L38*Sheet1!L40*(imports!O3+imports!O3*Sheet1!L37)</f>
        <v>2.8222466519106644E-3</v>
      </c>
      <c r="C26" t="s">
        <v>32</v>
      </c>
      <c r="D26" t="s">
        <v>120</v>
      </c>
      <c r="F26" t="s">
        <v>139</v>
      </c>
      <c r="G26" t="s">
        <v>160</v>
      </c>
    </row>
    <row r="27" spans="1:8" x14ac:dyDescent="0.35">
      <c r="A27" t="s">
        <v>187</v>
      </c>
      <c r="B27" s="35">
        <f>Sheet1!L38*Sheet1!L40*(imports!P3+imports!P3*Sheet1!L37)</f>
        <v>9.8275048430693929E-3</v>
      </c>
      <c r="C27" t="s">
        <v>32</v>
      </c>
      <c r="D27" t="s">
        <v>120</v>
      </c>
      <c r="F27" t="s">
        <v>139</v>
      </c>
      <c r="G27" t="s">
        <v>160</v>
      </c>
    </row>
    <row r="28" spans="1:8" x14ac:dyDescent="0.35">
      <c r="A28" t="s">
        <v>188</v>
      </c>
      <c r="B28" s="35">
        <f>Sheet1!L38*Sheet1!L40*(imports!Q3+imports!Q3*Sheet1!L37)</f>
        <v>1.8242329457400227E-2</v>
      </c>
      <c r="C28" t="s">
        <v>32</v>
      </c>
      <c r="D28" t="s">
        <v>120</v>
      </c>
      <c r="F28" t="s">
        <v>139</v>
      </c>
      <c r="G28" t="s">
        <v>160</v>
      </c>
    </row>
    <row r="29" spans="1:8" x14ac:dyDescent="0.35">
      <c r="A29" t="s">
        <v>189</v>
      </c>
      <c r="B29" s="35">
        <f>Sheet1!L38*Sheet1!L40*(imports!R3+imports!R3*Sheet1!L37)</f>
        <v>1.5220178080861388E-2</v>
      </c>
      <c r="C29" t="s">
        <v>32</v>
      </c>
      <c r="D29" t="s">
        <v>120</v>
      </c>
      <c r="F29" t="s">
        <v>139</v>
      </c>
      <c r="G29" t="s">
        <v>160</v>
      </c>
    </row>
    <row r="30" spans="1:8" x14ac:dyDescent="0.35">
      <c r="A30" t="s">
        <v>190</v>
      </c>
      <c r="B30" s="35">
        <f>Sheet1!L38*Sheet1!L40*(imports!S3+imports!S3*Sheet1!L37)</f>
        <v>1.2364778557919448E-2</v>
      </c>
      <c r="C30" t="s">
        <v>32</v>
      </c>
      <c r="D30" t="s">
        <v>120</v>
      </c>
      <c r="F30" t="s">
        <v>139</v>
      </c>
      <c r="G30" t="s">
        <v>160</v>
      </c>
    </row>
    <row r="31" spans="1:8" x14ac:dyDescent="0.35">
      <c r="A31" t="s">
        <v>122</v>
      </c>
      <c r="B31" s="35">
        <f>Solar!H11+Solar!H11*Sheet1!L41</f>
        <v>7.1302864947995898E-2</v>
      </c>
      <c r="C31" t="s">
        <v>32</v>
      </c>
      <c r="D31" t="s">
        <v>120</v>
      </c>
      <c r="F31" t="s">
        <v>139</v>
      </c>
      <c r="G31" t="s">
        <v>161</v>
      </c>
    </row>
    <row r="32" spans="1:8" x14ac:dyDescent="0.35">
      <c r="A32" t="s">
        <v>123</v>
      </c>
      <c r="B32" s="35">
        <f>Solar!H12+Solar!H12*Sheet1!L41</f>
        <v>5.7329337319104341E-2</v>
      </c>
      <c r="C32" t="s">
        <v>32</v>
      </c>
      <c r="D32" t="s">
        <v>120</v>
      </c>
      <c r="F32" t="s">
        <v>139</v>
      </c>
      <c r="G32" t="s">
        <v>161</v>
      </c>
    </row>
    <row r="33" spans="1:8" x14ac:dyDescent="0.35">
      <c r="A33" t="s">
        <v>138</v>
      </c>
      <c r="B33" s="35">
        <f>Solar!H13+Solar!H13*Sheet1!L41</f>
        <v>0.18866056332508035</v>
      </c>
      <c r="C33" t="s">
        <v>32</v>
      </c>
      <c r="D33" t="s">
        <v>120</v>
      </c>
      <c r="F33" t="s">
        <v>139</v>
      </c>
      <c r="G33" t="s">
        <v>161</v>
      </c>
    </row>
    <row r="34" spans="1:8" x14ac:dyDescent="0.35">
      <c r="A34" t="s">
        <v>126</v>
      </c>
      <c r="B34" s="35">
        <f>Sheet1!L38*Sheet1!L40*(Sheet1!AK28+Sheet1!AK28*Sheet1!L37)</f>
        <v>6.0520070052128359E-9</v>
      </c>
      <c r="C34" t="s">
        <v>128</v>
      </c>
      <c r="D34" t="s">
        <v>144</v>
      </c>
      <c r="F34" t="s">
        <v>139</v>
      </c>
      <c r="G34" t="s">
        <v>102</v>
      </c>
    </row>
    <row r="35" spans="1:8" x14ac:dyDescent="0.35">
      <c r="A35" t="s">
        <v>125</v>
      </c>
      <c r="B35" s="35">
        <f>Sheet1!L38*Sheet1!L40*(Sheet1!AK29+Sheet1!AK29*Sheet1!L37)</f>
        <v>4.1330645016834702E-10</v>
      </c>
      <c r="C35" t="s">
        <v>128</v>
      </c>
      <c r="D35" t="s">
        <v>144</v>
      </c>
      <c r="F35" t="s">
        <v>139</v>
      </c>
      <c r="G35" t="s">
        <v>103</v>
      </c>
    </row>
    <row r="36" spans="1:8" x14ac:dyDescent="0.35">
      <c r="A36" t="s">
        <v>168</v>
      </c>
      <c r="B36" s="35">
        <f>Sheet1!L38*Sheet1!L40*(Sheet1!AK30+Sheet1!AK30*Sheet1!L37)</f>
        <v>3.7186331954540986E-12</v>
      </c>
      <c r="C36" t="s">
        <v>128</v>
      </c>
      <c r="D36" t="s">
        <v>144</v>
      </c>
      <c r="F36" t="s">
        <v>139</v>
      </c>
      <c r="G36" t="s">
        <v>104</v>
      </c>
    </row>
    <row r="37" spans="1:8" x14ac:dyDescent="0.35">
      <c r="A37" t="s">
        <v>130</v>
      </c>
      <c r="B37" s="35">
        <f>Sheet1!L40*(Sheet1!AK31+Sheet1!AK31*Sheet1!L39)</f>
        <v>1.9284894271355074E-8</v>
      </c>
      <c r="C37" t="s">
        <v>128</v>
      </c>
      <c r="D37" t="s">
        <v>144</v>
      </c>
      <c r="F37" t="s">
        <v>139</v>
      </c>
      <c r="G37" t="s">
        <v>165</v>
      </c>
    </row>
    <row r="38" spans="1:8" x14ac:dyDescent="0.35">
      <c r="A38" t="s">
        <v>131</v>
      </c>
      <c r="B38" s="35">
        <f>Sheet1!AK32+Sheet1!AK32*Sheet1!L41</f>
        <v>9.0088047707405261E-8</v>
      </c>
      <c r="C38" t="s">
        <v>128</v>
      </c>
      <c r="D38" t="s">
        <v>144</v>
      </c>
      <c r="F38" t="s">
        <v>139</v>
      </c>
      <c r="G38" t="s">
        <v>162</v>
      </c>
    </row>
    <row r="39" spans="1:8" x14ac:dyDescent="0.35">
      <c r="A39" t="s">
        <v>127</v>
      </c>
      <c r="B39" s="35">
        <f>Sheet1!L38*(Sheet1!Q29+Sheet1!Q29*Sheet1!L39)+Sheet1!L40*(Sheet1!Q33+Sheet1!Q33*Sheet1!L41)</f>
        <v>5.5019117698084618E-8</v>
      </c>
      <c r="C39" t="s">
        <v>119</v>
      </c>
      <c r="D39" t="s">
        <v>145</v>
      </c>
      <c r="F39" t="s">
        <v>139</v>
      </c>
      <c r="G39" t="s">
        <v>164</v>
      </c>
    </row>
    <row r="40" spans="1:8" x14ac:dyDescent="0.35">
      <c r="A40" t="s">
        <v>132</v>
      </c>
      <c r="B40" s="35">
        <f>Sheet1!AE18*14</f>
        <v>27.094984818979626</v>
      </c>
      <c r="C40" t="s">
        <v>129</v>
      </c>
      <c r="D40" t="s">
        <v>145</v>
      </c>
      <c r="F40" t="s">
        <v>139</v>
      </c>
      <c r="G40" t="s">
        <v>166</v>
      </c>
      <c r="H40" t="s">
        <v>171</v>
      </c>
    </row>
    <row r="43" spans="1:8" x14ac:dyDescent="0.35">
      <c r="A43" t="s">
        <v>20</v>
      </c>
      <c r="B43" s="35" t="s">
        <v>157</v>
      </c>
    </row>
    <row r="44" spans="1:8" x14ac:dyDescent="0.35">
      <c r="A44" t="s">
        <v>21</v>
      </c>
      <c r="B44" s="35">
        <v>1</v>
      </c>
    </row>
    <row r="45" spans="1:8" x14ac:dyDescent="0.35">
      <c r="A45" t="s">
        <v>22</v>
      </c>
      <c r="B45" s="35" t="s">
        <v>121</v>
      </c>
    </row>
    <row r="46" spans="1:8" x14ac:dyDescent="0.35">
      <c r="A46" t="s">
        <v>23</v>
      </c>
      <c r="B46" s="35" t="s">
        <v>160</v>
      </c>
    </row>
    <row r="47" spans="1:8" x14ac:dyDescent="0.35">
      <c r="A47" t="s">
        <v>24</v>
      </c>
      <c r="B47" s="35" t="s">
        <v>32</v>
      </c>
    </row>
    <row r="48" spans="1:8" x14ac:dyDescent="0.35">
      <c r="A48" t="s">
        <v>25</v>
      </c>
      <c r="B48" s="35" t="s">
        <v>120</v>
      </c>
    </row>
    <row r="49" spans="1:8" x14ac:dyDescent="0.35">
      <c r="A49" t="s">
        <v>26</v>
      </c>
    </row>
    <row r="50" spans="1:8" x14ac:dyDescent="0.35">
      <c r="A50" t="s">
        <v>27</v>
      </c>
      <c r="B50" s="35" t="s">
        <v>28</v>
      </c>
      <c r="C50" t="s">
        <v>24</v>
      </c>
      <c r="D50" t="s">
        <v>25</v>
      </c>
      <c r="E50" t="s">
        <v>29</v>
      </c>
      <c r="F50" t="s">
        <v>30</v>
      </c>
      <c r="G50" t="s">
        <v>23</v>
      </c>
      <c r="H50" t="s">
        <v>22</v>
      </c>
    </row>
    <row r="51" spans="1:8" x14ac:dyDescent="0.35">
      <c r="A51" t="str">
        <f>B43</f>
        <v>market for electricity, low voltage M1</v>
      </c>
      <c r="B51" s="35">
        <v>1</v>
      </c>
      <c r="C51" t="s">
        <v>32</v>
      </c>
      <c r="D51" t="s">
        <v>120</v>
      </c>
      <c r="F51" t="s">
        <v>191</v>
      </c>
      <c r="G51" t="str">
        <f>B46</f>
        <v>electricity, high voltage</v>
      </c>
    </row>
    <row r="52" spans="1:8" x14ac:dyDescent="0.35">
      <c r="A52" t="s">
        <v>137</v>
      </c>
      <c r="B52" s="35">
        <f>Sheet1!L38*Sheet1!L40*(Nuclear!E4+Nuclear!E4*Sheet1!L37)</f>
        <v>0.12117721591809498</v>
      </c>
      <c r="C52" t="s">
        <v>32</v>
      </c>
      <c r="D52" t="s">
        <v>120</v>
      </c>
      <c r="F52" t="s">
        <v>139</v>
      </c>
      <c r="G52" t="s">
        <v>160</v>
      </c>
    </row>
    <row r="53" spans="1:8" x14ac:dyDescent="0.35">
      <c r="A53" t="s">
        <v>92</v>
      </c>
      <c r="B53" s="35">
        <f>Sheet1!L38*Sheet1!L40*(hydro!H13+hydro!H13*Sheet1!L37)</f>
        <v>1.6993801967552159E-2</v>
      </c>
      <c r="C53" t="s">
        <v>32</v>
      </c>
      <c r="D53" t="s">
        <v>120</v>
      </c>
      <c r="F53" t="s">
        <v>139</v>
      </c>
      <c r="G53" t="s">
        <v>160</v>
      </c>
    </row>
    <row r="54" spans="1:8" x14ac:dyDescent="0.35">
      <c r="A54" t="s">
        <v>93</v>
      </c>
      <c r="B54" s="35">
        <f>Sheet1!L38*Sheet1!L40*(hydro!H14+hydro!H14*Sheet1!L37)</f>
        <v>8.9219965016886102E-2</v>
      </c>
      <c r="C54" t="s">
        <v>32</v>
      </c>
      <c r="D54" t="s">
        <v>120</v>
      </c>
      <c r="F54" t="s">
        <v>139</v>
      </c>
      <c r="G54" t="s">
        <v>160</v>
      </c>
    </row>
    <row r="55" spans="1:8" x14ac:dyDescent="0.35">
      <c r="A55" t="s">
        <v>98</v>
      </c>
      <c r="B55" s="35">
        <f>Sheet1!L38*Sheet1!L40*(Wind!H13+Wind!H13*Sheet1!L37)</f>
        <v>0.14843305649529184</v>
      </c>
      <c r="C55" t="s">
        <v>32</v>
      </c>
      <c r="D55" t="s">
        <v>120</v>
      </c>
      <c r="F55" t="s">
        <v>139</v>
      </c>
      <c r="G55" t="s">
        <v>160</v>
      </c>
    </row>
    <row r="56" spans="1:8" x14ac:dyDescent="0.35">
      <c r="A56" s="9" t="s">
        <v>136</v>
      </c>
      <c r="B56" s="35">
        <f>Sheet1!L38*Sheet1!L40*(Wind!H14+Wind!H14*Sheet1!L37)</f>
        <v>9.5395873617134044E-3</v>
      </c>
      <c r="C56" t="s">
        <v>32</v>
      </c>
      <c r="D56" t="s">
        <v>120</v>
      </c>
      <c r="F56" t="s">
        <v>139</v>
      </c>
      <c r="G56" t="s">
        <v>160</v>
      </c>
    </row>
    <row r="57" spans="1:8" x14ac:dyDescent="0.35">
      <c r="A57" t="s">
        <v>124</v>
      </c>
      <c r="B57" s="35">
        <f>Sheet1!L38*Sheet1!L40*(Wind!H15+Wind!H15*Sheet1!L37)</f>
        <v>6.131943952315304E-4</v>
      </c>
      <c r="C57" t="s">
        <v>32</v>
      </c>
      <c r="D57" t="s">
        <v>120</v>
      </c>
      <c r="F57" t="s">
        <v>139</v>
      </c>
      <c r="G57" t="s">
        <v>160</v>
      </c>
    </row>
    <row r="58" spans="1:8" x14ac:dyDescent="0.35">
      <c r="A58" t="s">
        <v>97</v>
      </c>
      <c r="B58" s="35">
        <f>Sheet1!L38*Sheet1!L40*(Wind!H26+Wind!H26*Sheet1!L37)</f>
        <v>8.7711280451540946E-2</v>
      </c>
      <c r="C58" t="s">
        <v>32</v>
      </c>
      <c r="D58" t="s">
        <v>120</v>
      </c>
      <c r="F58" t="s">
        <v>139</v>
      </c>
      <c r="G58" t="s">
        <v>160</v>
      </c>
    </row>
    <row r="59" spans="1:8" x14ac:dyDescent="0.35">
      <c r="A59" t="s">
        <v>97</v>
      </c>
      <c r="B59" s="35">
        <f>Sheet1!L38*Sheet1!L40*(Wind!H27+Wind!H27*Sheet1!L37)</f>
        <v>0.12925872908648139</v>
      </c>
      <c r="C59" t="s">
        <v>32</v>
      </c>
      <c r="D59" t="s">
        <v>120</v>
      </c>
      <c r="F59" t="s">
        <v>139</v>
      </c>
      <c r="G59" t="s">
        <v>160</v>
      </c>
      <c r="H59" t="s">
        <v>140</v>
      </c>
    </row>
    <row r="60" spans="1:8" x14ac:dyDescent="0.35">
      <c r="A60" s="10" t="s">
        <v>142</v>
      </c>
      <c r="B60" s="35">
        <f>Sheet1!L38*Sheet1!L40*(Biogas!F7+Biogas!F7*Sheet1!L37)</f>
        <v>1.3093017816949624E-2</v>
      </c>
      <c r="C60" t="s">
        <v>32</v>
      </c>
      <c r="D60" t="s">
        <v>120</v>
      </c>
      <c r="F60" t="s">
        <v>139</v>
      </c>
      <c r="G60" t="s">
        <v>160</v>
      </c>
    </row>
    <row r="61" spans="1:8" x14ac:dyDescent="0.35">
      <c r="A61" t="s">
        <v>167</v>
      </c>
      <c r="B61" s="35">
        <f>Sheet1!L38*Sheet1!L40*(Sheet1!AI27+Sheet1!AI27*Sheet1!L37)</f>
        <v>5.2505673490420422E-2</v>
      </c>
      <c r="C61" t="s">
        <v>133</v>
      </c>
      <c r="D61" t="s">
        <v>120</v>
      </c>
      <c r="F61" t="s">
        <v>139</v>
      </c>
      <c r="G61" t="s">
        <v>160</v>
      </c>
    </row>
    <row r="62" spans="1:8" x14ac:dyDescent="0.35">
      <c r="A62" t="s">
        <v>185</v>
      </c>
      <c r="B62" s="35">
        <f>Sheet1!L38*Sheet1!L40*(imports!N4+imports!N4*Sheet1!L37)</f>
        <v>3.3314805529905916E-3</v>
      </c>
      <c r="C62" t="s">
        <v>32</v>
      </c>
      <c r="D62" t="s">
        <v>120</v>
      </c>
      <c r="F62" t="s">
        <v>139</v>
      </c>
      <c r="G62" t="s">
        <v>160</v>
      </c>
    </row>
    <row r="63" spans="1:8" x14ac:dyDescent="0.35">
      <c r="A63" t="s">
        <v>186</v>
      </c>
      <c r="B63" s="35">
        <f>Sheet1!L38*Sheet1!L40*(imports!O4+imports!O4*Sheet1!L37)</f>
        <v>2.496468907676051E-3</v>
      </c>
      <c r="C63" t="s">
        <v>32</v>
      </c>
      <c r="D63" t="s">
        <v>120</v>
      </c>
      <c r="F63" t="s">
        <v>139</v>
      </c>
      <c r="G63" t="s">
        <v>160</v>
      </c>
    </row>
    <row r="64" spans="1:8" x14ac:dyDescent="0.35">
      <c r="A64" t="s">
        <v>187</v>
      </c>
      <c r="B64" s="35">
        <f>Sheet1!L38*Sheet1!L40*(imports!P4+imports!P4*Sheet1!L37)</f>
        <v>8.6930957165451735E-3</v>
      </c>
      <c r="C64" t="s">
        <v>32</v>
      </c>
      <c r="D64" t="s">
        <v>120</v>
      </c>
      <c r="F64" t="s">
        <v>139</v>
      </c>
      <c r="G64" t="s">
        <v>160</v>
      </c>
    </row>
    <row r="65" spans="1:7" x14ac:dyDescent="0.35">
      <c r="A65" t="s">
        <v>188</v>
      </c>
      <c r="B65" s="35">
        <f>Sheet1!L38*Sheet1!L40*(imports!Q4+imports!Q4*Sheet1!L37)</f>
        <v>1.6136579792964231E-2</v>
      </c>
      <c r="C65" t="s">
        <v>32</v>
      </c>
      <c r="D65" t="s">
        <v>120</v>
      </c>
      <c r="F65" t="s">
        <v>139</v>
      </c>
      <c r="G65" t="s">
        <v>160</v>
      </c>
    </row>
    <row r="66" spans="1:7" x14ac:dyDescent="0.35">
      <c r="A66" t="s">
        <v>189</v>
      </c>
      <c r="B66" s="35">
        <f>Sheet1!L38*Sheet1!L40*(imports!R4+imports!R4*Sheet1!L37)</f>
        <v>1.3463281574783407E-2</v>
      </c>
      <c r="C66" t="s">
        <v>32</v>
      </c>
      <c r="D66" t="s">
        <v>120</v>
      </c>
      <c r="F66" t="s">
        <v>139</v>
      </c>
      <c r="G66" t="s">
        <v>160</v>
      </c>
    </row>
    <row r="67" spans="1:7" x14ac:dyDescent="0.35">
      <c r="A67" t="s">
        <v>190</v>
      </c>
      <c r="B67" s="35">
        <f>Sheet1!L38*Sheet1!L40*(imports!S4+imports!S4*Sheet1!L37)</f>
        <v>1.093748670026681E-2</v>
      </c>
      <c r="C67" t="s">
        <v>32</v>
      </c>
      <c r="D67" t="s">
        <v>120</v>
      </c>
      <c r="F67" t="s">
        <v>139</v>
      </c>
      <c r="G67" t="s">
        <v>160</v>
      </c>
    </row>
    <row r="68" spans="1:7" x14ac:dyDescent="0.35">
      <c r="A68" t="s">
        <v>122</v>
      </c>
      <c r="B68" s="35">
        <f>Solar!M11+Solar!M11*Sheet1!L41</f>
        <v>9.089656739946432E-2</v>
      </c>
      <c r="C68" t="s">
        <v>32</v>
      </c>
      <c r="D68" t="s">
        <v>120</v>
      </c>
      <c r="F68" t="s">
        <v>139</v>
      </c>
      <c r="G68" t="s">
        <v>161</v>
      </c>
    </row>
    <row r="69" spans="1:7" x14ac:dyDescent="0.35">
      <c r="A69" t="s">
        <v>123</v>
      </c>
      <c r="B69" s="35">
        <f>Solar!M12+Solar!M12*Sheet1!L41</f>
        <v>7.3083178037701826E-2</v>
      </c>
      <c r="C69" t="s">
        <v>32</v>
      </c>
      <c r="D69" t="s">
        <v>120</v>
      </c>
      <c r="F69" t="s">
        <v>139</v>
      </c>
      <c r="G69" t="s">
        <v>161</v>
      </c>
    </row>
    <row r="70" spans="1:7" x14ac:dyDescent="0.35">
      <c r="A70" t="s">
        <v>138</v>
      </c>
      <c r="B70" s="35">
        <f>Solar!M13+Solar!M13*Sheet1!L41</f>
        <v>0.16397974543716615</v>
      </c>
      <c r="C70" t="s">
        <v>32</v>
      </c>
      <c r="D70" t="s">
        <v>120</v>
      </c>
      <c r="F70" t="s">
        <v>139</v>
      </c>
      <c r="G70" t="s">
        <v>161</v>
      </c>
    </row>
    <row r="71" spans="1:7" x14ac:dyDescent="0.35">
      <c r="A71" t="s">
        <v>126</v>
      </c>
      <c r="B71" s="35">
        <f>Sheet1!L38*Sheet1!L40*(Sheet1!AK28+Sheet1!AK28*Sheet1!L37)</f>
        <v>6.0520070052128359E-9</v>
      </c>
      <c r="C71" t="s">
        <v>128</v>
      </c>
      <c r="D71" t="s">
        <v>144</v>
      </c>
      <c r="F71" t="s">
        <v>139</v>
      </c>
      <c r="G71" t="s">
        <v>102</v>
      </c>
    </row>
    <row r="72" spans="1:7" x14ac:dyDescent="0.35">
      <c r="A72" t="s">
        <v>125</v>
      </c>
      <c r="B72" s="35">
        <f>Sheet1!L38*Sheet1!L40*(Sheet1!AK29+Sheet1!AK29*Sheet1!L37)</f>
        <v>4.1330645016834702E-10</v>
      </c>
      <c r="C72" t="s">
        <v>128</v>
      </c>
      <c r="D72" t="s">
        <v>144</v>
      </c>
      <c r="F72" t="s">
        <v>139</v>
      </c>
      <c r="G72" t="s">
        <v>103</v>
      </c>
    </row>
    <row r="73" spans="1:7" x14ac:dyDescent="0.35">
      <c r="A73" t="s">
        <v>168</v>
      </c>
      <c r="B73" s="35">
        <f>Sheet1!L38*Sheet1!L40*(Sheet1!AK30+Sheet1!AK30*Sheet1!L37)</f>
        <v>3.7186331954540986E-12</v>
      </c>
      <c r="C73" t="s">
        <v>128</v>
      </c>
      <c r="D73" t="s">
        <v>144</v>
      </c>
      <c r="F73" t="s">
        <v>139</v>
      </c>
      <c r="G73" t="s">
        <v>104</v>
      </c>
    </row>
    <row r="74" spans="1:7" x14ac:dyDescent="0.35">
      <c r="A74" t="s">
        <v>130</v>
      </c>
      <c r="B74" s="35">
        <f>Sheet1!L40*(Sheet1!AK31+Sheet1!AK31*Sheet1!L39)</f>
        <v>1.9284894271355074E-8</v>
      </c>
      <c r="C74" t="s">
        <v>128</v>
      </c>
      <c r="D74" t="s">
        <v>144</v>
      </c>
      <c r="F74" t="s">
        <v>139</v>
      </c>
      <c r="G74" t="s">
        <v>165</v>
      </c>
    </row>
    <row r="75" spans="1:7" x14ac:dyDescent="0.35">
      <c r="A75" t="s">
        <v>131</v>
      </c>
      <c r="B75" s="35">
        <f>Sheet1!AK32+Sheet1!AK32*Sheet1!L41</f>
        <v>9.0088047707405261E-8</v>
      </c>
      <c r="C75" t="s">
        <v>128</v>
      </c>
      <c r="D75" t="s">
        <v>144</v>
      </c>
      <c r="F75" t="s">
        <v>139</v>
      </c>
      <c r="G75" t="s">
        <v>162</v>
      </c>
    </row>
    <row r="76" spans="1:7" x14ac:dyDescent="0.35">
      <c r="A76" t="s">
        <v>127</v>
      </c>
      <c r="B76" s="35">
        <f>Sheet1!L38*(Sheet1!Q29+Sheet1!Q29*Sheet1!L39)+Sheet1!L40*(Sheet1!Q33+Sheet1!Q33*Sheet1!L41)</f>
        <v>5.5019117698084618E-8</v>
      </c>
      <c r="C76" t="s">
        <v>119</v>
      </c>
      <c r="D76" t="s">
        <v>145</v>
      </c>
      <c r="F76" t="s">
        <v>139</v>
      </c>
      <c r="G76" t="s">
        <v>164</v>
      </c>
    </row>
    <row r="77" spans="1:7" x14ac:dyDescent="0.35">
      <c r="A77" t="s">
        <v>132</v>
      </c>
      <c r="B77" s="35">
        <f>Sheet1!AD19*14</f>
        <v>5.0680969240243741</v>
      </c>
      <c r="C77" t="s">
        <v>129</v>
      </c>
      <c r="D77" t="s">
        <v>145</v>
      </c>
      <c r="F77" t="s">
        <v>139</v>
      </c>
      <c r="G77" t="s">
        <v>166</v>
      </c>
    </row>
    <row r="80" spans="1:7" x14ac:dyDescent="0.35">
      <c r="A80" t="s">
        <v>20</v>
      </c>
      <c r="B80" s="35" t="s">
        <v>158</v>
      </c>
    </row>
    <row r="81" spans="1:8" x14ac:dyDescent="0.35">
      <c r="A81" t="s">
        <v>21</v>
      </c>
      <c r="B81" s="35">
        <v>1</v>
      </c>
    </row>
    <row r="82" spans="1:8" x14ac:dyDescent="0.35">
      <c r="A82" t="s">
        <v>22</v>
      </c>
      <c r="B82" s="35" t="s">
        <v>121</v>
      </c>
    </row>
    <row r="83" spans="1:8" x14ac:dyDescent="0.35">
      <c r="A83" t="s">
        <v>23</v>
      </c>
      <c r="B83" s="35" t="s">
        <v>160</v>
      </c>
    </row>
    <row r="84" spans="1:8" x14ac:dyDescent="0.35">
      <c r="A84" t="s">
        <v>24</v>
      </c>
      <c r="B84" s="35" t="s">
        <v>32</v>
      </c>
      <c r="H84" t="s">
        <v>22</v>
      </c>
    </row>
    <row r="85" spans="1:8" x14ac:dyDescent="0.35">
      <c r="A85" t="s">
        <v>25</v>
      </c>
      <c r="B85" s="35" t="s">
        <v>120</v>
      </c>
    </row>
    <row r="86" spans="1:8" x14ac:dyDescent="0.35">
      <c r="A86" t="s">
        <v>26</v>
      </c>
    </row>
    <row r="87" spans="1:8" x14ac:dyDescent="0.35">
      <c r="A87" t="s">
        <v>27</v>
      </c>
      <c r="B87" s="35" t="s">
        <v>28</v>
      </c>
      <c r="C87" t="s">
        <v>24</v>
      </c>
      <c r="D87" t="s">
        <v>25</v>
      </c>
      <c r="E87" t="s">
        <v>29</v>
      </c>
      <c r="F87" t="s">
        <v>30</v>
      </c>
      <c r="G87" t="s">
        <v>23</v>
      </c>
    </row>
    <row r="88" spans="1:8" x14ac:dyDescent="0.35">
      <c r="A88" t="str">
        <f>B80</f>
        <v>market for electricity, low voltage M23</v>
      </c>
      <c r="B88" s="35">
        <v>1</v>
      </c>
      <c r="C88" t="s">
        <v>32</v>
      </c>
      <c r="D88" t="s">
        <v>120</v>
      </c>
      <c r="F88" t="s">
        <v>191</v>
      </c>
      <c r="G88" t="s">
        <v>159</v>
      </c>
    </row>
    <row r="89" spans="1:8" x14ac:dyDescent="0.35">
      <c r="A89" t="s">
        <v>137</v>
      </c>
      <c r="B89" s="35">
        <f>Sheet1!L38*Sheet1!L40*(Nuclear!E5+Nuclear!E5*Sheet1!L37)</f>
        <v>0.12646173311732428</v>
      </c>
      <c r="C89" t="s">
        <v>32</v>
      </c>
      <c r="D89" t="s">
        <v>120</v>
      </c>
      <c r="F89" t="s">
        <v>139</v>
      </c>
      <c r="G89" t="s">
        <v>160</v>
      </c>
    </row>
    <row r="90" spans="1:8" x14ac:dyDescent="0.35">
      <c r="A90" t="s">
        <v>92</v>
      </c>
      <c r="B90" s="35">
        <f>Sheet1!L38*Sheet1!L40*(hydro!I13+hydro!I13*Sheet1!L37)</f>
        <v>1.7368297386415606E-2</v>
      </c>
      <c r="C90" t="s">
        <v>32</v>
      </c>
      <c r="D90" t="s">
        <v>120</v>
      </c>
      <c r="F90" t="s">
        <v>139</v>
      </c>
      <c r="G90" t="s">
        <v>160</v>
      </c>
    </row>
    <row r="91" spans="1:8" x14ac:dyDescent="0.35">
      <c r="A91" t="s">
        <v>93</v>
      </c>
      <c r="B91" s="35">
        <f>Sheet1!L38*Sheet1!L40*(hydro!I14+hydro!I14*Sheet1!L37)</f>
        <v>9.1186121162154715E-2</v>
      </c>
      <c r="C91" t="s">
        <v>32</v>
      </c>
      <c r="D91" t="s">
        <v>120</v>
      </c>
      <c r="F91" t="s">
        <v>139</v>
      </c>
      <c r="G91" t="s">
        <v>160</v>
      </c>
    </row>
    <row r="92" spans="1:8" x14ac:dyDescent="0.35">
      <c r="A92" t="s">
        <v>98</v>
      </c>
      <c r="B92" s="35">
        <f>Sheet1!L38*Sheet1!L40*(Wind!I13+Wind!I13*Sheet1!L37)</f>
        <v>0.1887872216194518</v>
      </c>
      <c r="C92" t="s">
        <v>32</v>
      </c>
      <c r="D92" t="s">
        <v>120</v>
      </c>
      <c r="F92" t="s">
        <v>139</v>
      </c>
      <c r="G92" t="s">
        <v>160</v>
      </c>
      <c r="H92" t="s">
        <v>140</v>
      </c>
    </row>
    <row r="93" spans="1:8" x14ac:dyDescent="0.35">
      <c r="A93" s="9" t="s">
        <v>136</v>
      </c>
      <c r="B93" s="35">
        <f>Sheet1!L38*Sheet1!L40*(Wind!I14+Wind!I14*Sheet1!L37)</f>
        <v>1.2133093772619541E-2</v>
      </c>
      <c r="C93" t="s">
        <v>32</v>
      </c>
      <c r="D93" t="s">
        <v>120</v>
      </c>
      <c r="F93" t="s">
        <v>139</v>
      </c>
      <c r="G93" t="s">
        <v>160</v>
      </c>
    </row>
    <row r="94" spans="1:8" x14ac:dyDescent="0.35">
      <c r="A94" t="s">
        <v>124</v>
      </c>
      <c r="B94" s="35">
        <f>Sheet1!L38*Sheet1!L40*(Wind!I15+Wind!I15*Sheet1!L37)</f>
        <v>7.7990219242067918E-4</v>
      </c>
      <c r="C94" t="s">
        <v>32</v>
      </c>
      <c r="D94" t="s">
        <v>120</v>
      </c>
      <c r="F94" t="s">
        <v>139</v>
      </c>
      <c r="G94" t="s">
        <v>160</v>
      </c>
    </row>
    <row r="95" spans="1:8" x14ac:dyDescent="0.35">
      <c r="A95" t="s">
        <v>97</v>
      </c>
      <c r="B95" s="35">
        <f>Sheet1!L38*Sheet1!L40*(Wind!I26+Wind!I26*Sheet1!L37)</f>
        <v>0.11859987777324729</v>
      </c>
      <c r="C95" t="s">
        <v>32</v>
      </c>
      <c r="D95" t="s">
        <v>120</v>
      </c>
      <c r="F95" t="s">
        <v>139</v>
      </c>
      <c r="G95" t="s">
        <v>160</v>
      </c>
    </row>
    <row r="96" spans="1:8" x14ac:dyDescent="0.35">
      <c r="A96" t="s">
        <v>97</v>
      </c>
      <c r="B96" s="35">
        <f>Sheet1!L38*Sheet1!L40*(Wind!I27+Wind!I27*Sheet1!L37)</f>
        <v>0.18027181421533583</v>
      </c>
      <c r="C96" t="s">
        <v>32</v>
      </c>
      <c r="D96" t="s">
        <v>120</v>
      </c>
      <c r="F96" t="s">
        <v>139</v>
      </c>
      <c r="G96" t="s">
        <v>160</v>
      </c>
    </row>
    <row r="97" spans="1:7" x14ac:dyDescent="0.35">
      <c r="A97" s="10" t="s">
        <v>142</v>
      </c>
      <c r="B97" s="35">
        <f>Sheet1!L38*Sheet1!L40*(Biogas!F8+Biogas!F8*Sheet1!L37)</f>
        <v>1.3604006416572754E-2</v>
      </c>
      <c r="C97" t="s">
        <v>32</v>
      </c>
      <c r="D97" t="s">
        <v>120</v>
      </c>
      <c r="F97" t="s">
        <v>139</v>
      </c>
      <c r="G97" t="s">
        <v>160</v>
      </c>
    </row>
    <row r="98" spans="1:7" x14ac:dyDescent="0.35">
      <c r="A98" t="s">
        <v>167</v>
      </c>
      <c r="B98" s="35">
        <f>Sheet1!L38*Sheet1!L40*(Sheet1!AI28+Sheet1!AI28*Sheet1!L37)</f>
        <v>4.6642307713963729E-2</v>
      </c>
      <c r="C98" t="s">
        <v>133</v>
      </c>
      <c r="D98" t="s">
        <v>120</v>
      </c>
      <c r="F98" t="s">
        <v>139</v>
      </c>
      <c r="G98" t="s">
        <v>160</v>
      </c>
    </row>
    <row r="99" spans="1:7" x14ac:dyDescent="0.35">
      <c r="A99" t="s">
        <v>185</v>
      </c>
      <c r="B99" s="35">
        <f>Sheet1!L38*Sheet1!L40*(imports!N5+imports!N5*Sheet1!L37)</f>
        <v>3.3790834560708878E-3</v>
      </c>
      <c r="C99" t="s">
        <v>32</v>
      </c>
      <c r="D99" t="s">
        <v>120</v>
      </c>
      <c r="F99" t="s">
        <v>139</v>
      </c>
      <c r="G99" t="s">
        <v>160</v>
      </c>
    </row>
    <row r="100" spans="1:7" x14ac:dyDescent="0.35">
      <c r="A100" t="s">
        <v>186</v>
      </c>
      <c r="B100" s="35">
        <f>Sheet1!L38*Sheet1!L40*(imports!O5+imports!O5*Sheet1!L37)</f>
        <v>2.5321404853919705E-3</v>
      </c>
      <c r="C100" t="s">
        <v>32</v>
      </c>
      <c r="D100" t="s">
        <v>120</v>
      </c>
      <c r="F100" t="s">
        <v>139</v>
      </c>
      <c r="G100" t="s">
        <v>160</v>
      </c>
    </row>
    <row r="101" spans="1:7" x14ac:dyDescent="0.35">
      <c r="A101" t="s">
        <v>187</v>
      </c>
      <c r="B101" s="35">
        <f>Sheet1!L38*Sheet1!L40*(imports!P5+imports!P5*Sheet1!L37)</f>
        <v>8.8173097367924072E-3</v>
      </c>
      <c r="C101" t="s">
        <v>32</v>
      </c>
      <c r="D101" t="s">
        <v>120</v>
      </c>
      <c r="F101" t="s">
        <v>139</v>
      </c>
      <c r="G101" t="s">
        <v>160</v>
      </c>
    </row>
    <row r="102" spans="1:7" x14ac:dyDescent="0.35">
      <c r="A102" t="s">
        <v>188</v>
      </c>
      <c r="B102" s="35">
        <f>Sheet1!L38*Sheet1!L40*(imports!Q5+imports!Q5*Sheet1!L37)</f>
        <v>1.6367152366243219E-2</v>
      </c>
      <c r="C102" t="s">
        <v>32</v>
      </c>
      <c r="D102" t="s">
        <v>120</v>
      </c>
      <c r="F102" t="s">
        <v>139</v>
      </c>
      <c r="G102" t="s">
        <v>160</v>
      </c>
    </row>
    <row r="103" spans="1:7" x14ac:dyDescent="0.35">
      <c r="A103" t="s">
        <v>189</v>
      </c>
      <c r="B103" s="35">
        <f>Sheet1!L38*Sheet1!L40*(imports!R5+imports!R5*Sheet1!L37)</f>
        <v>1.365565588937211E-2</v>
      </c>
      <c r="C103" t="s">
        <v>32</v>
      </c>
      <c r="D103" t="s">
        <v>120</v>
      </c>
      <c r="F103" t="s">
        <v>139</v>
      </c>
      <c r="G103" t="s">
        <v>160</v>
      </c>
    </row>
    <row r="104" spans="1:7" x14ac:dyDescent="0.35">
      <c r="A104" t="s">
        <v>190</v>
      </c>
      <c r="B104" s="35">
        <f>Sheet1!L38*Sheet1!L40*(imports!S5+imports!S5*Sheet1!L37)</f>
        <v>1.109377040387944E-2</v>
      </c>
      <c r="C104" t="s">
        <v>32</v>
      </c>
      <c r="D104" t="s">
        <v>120</v>
      </c>
      <c r="F104" t="s">
        <v>139</v>
      </c>
      <c r="G104" t="s">
        <v>160</v>
      </c>
    </row>
    <row r="105" spans="1:7" x14ac:dyDescent="0.35">
      <c r="A105" t="s">
        <v>122</v>
      </c>
      <c r="B105" s="35">
        <f>Solar!R11+Solar!R11*Sheet1!L41</f>
        <v>4.0257160287336474E-2</v>
      </c>
      <c r="C105" t="s">
        <v>32</v>
      </c>
      <c r="D105" t="s">
        <v>120</v>
      </c>
      <c r="F105" t="s">
        <v>139</v>
      </c>
      <c r="G105" t="s">
        <v>161</v>
      </c>
    </row>
    <row r="106" spans="1:7" x14ac:dyDescent="0.35">
      <c r="A106" t="s">
        <v>123</v>
      </c>
      <c r="B106" s="35">
        <f>Solar!R12+Solar!R12*Sheet1!L41</f>
        <v>3.2367792280229152E-2</v>
      </c>
      <c r="C106" t="s">
        <v>32</v>
      </c>
      <c r="D106" t="s">
        <v>120</v>
      </c>
      <c r="F106" t="s">
        <v>139</v>
      </c>
      <c r="G106" t="s">
        <v>161</v>
      </c>
    </row>
    <row r="107" spans="1:7" x14ac:dyDescent="0.35">
      <c r="A107" t="s">
        <v>138</v>
      </c>
      <c r="B107" s="35">
        <f>Solar!R13+Solar!R13*Sheet1!L41</f>
        <v>0.13191062813292531</v>
      </c>
      <c r="C107" t="s">
        <v>32</v>
      </c>
      <c r="D107" t="s">
        <v>120</v>
      </c>
      <c r="F107" t="s">
        <v>139</v>
      </c>
      <c r="G107" t="s">
        <v>161</v>
      </c>
    </row>
    <row r="108" spans="1:7" x14ac:dyDescent="0.35">
      <c r="A108" t="s">
        <v>126</v>
      </c>
      <c r="B108" s="35">
        <f>Sheet1!L38*Sheet1!L40*(Sheet1!AK28+Sheet1!AK28*Sheet1!L37)</f>
        <v>6.0520070052128359E-9</v>
      </c>
      <c r="C108" t="s">
        <v>128</v>
      </c>
      <c r="D108" t="s">
        <v>144</v>
      </c>
      <c r="F108" t="s">
        <v>139</v>
      </c>
      <c r="G108" t="s">
        <v>102</v>
      </c>
    </row>
    <row r="109" spans="1:7" x14ac:dyDescent="0.35">
      <c r="A109" t="s">
        <v>125</v>
      </c>
      <c r="B109" s="35">
        <f>Sheet1!L38*Sheet1!L40*(Sheet1!AK29+Sheet1!AK29*Sheet1!L37)</f>
        <v>4.1330645016834702E-10</v>
      </c>
      <c r="C109" t="s">
        <v>128</v>
      </c>
      <c r="D109" t="s">
        <v>144</v>
      </c>
      <c r="F109" t="s">
        <v>139</v>
      </c>
      <c r="G109" t="s">
        <v>103</v>
      </c>
    </row>
    <row r="110" spans="1:7" x14ac:dyDescent="0.35">
      <c r="A110" t="s">
        <v>168</v>
      </c>
      <c r="B110" s="35">
        <f>Sheet1!L38*Sheet1!L40*(Sheet1!AK30+Sheet1!AK30*Sheet1!L37)</f>
        <v>3.7186331954540986E-12</v>
      </c>
      <c r="C110" t="s">
        <v>128</v>
      </c>
      <c r="D110" t="s">
        <v>144</v>
      </c>
      <c r="F110" t="s">
        <v>139</v>
      </c>
      <c r="G110" t="s">
        <v>104</v>
      </c>
    </row>
    <row r="111" spans="1:7" x14ac:dyDescent="0.35">
      <c r="A111" t="s">
        <v>130</v>
      </c>
      <c r="B111" s="35">
        <f>Sheet1!L40*(Sheet1!AK31+Sheet1!AK31*Sheet1!L39)</f>
        <v>1.9284894271355074E-8</v>
      </c>
      <c r="C111" t="s">
        <v>128</v>
      </c>
      <c r="D111" t="s">
        <v>144</v>
      </c>
      <c r="F111" t="s">
        <v>139</v>
      </c>
      <c r="G111" t="s">
        <v>165</v>
      </c>
    </row>
    <row r="112" spans="1:7" x14ac:dyDescent="0.35">
      <c r="A112" t="s">
        <v>131</v>
      </c>
      <c r="B112" s="35">
        <f>Sheet1!AK32+Sheet1!AK32*Sheet1!L41</f>
        <v>9.0088047707405261E-8</v>
      </c>
      <c r="C112" t="s">
        <v>128</v>
      </c>
      <c r="D112" t="s">
        <v>144</v>
      </c>
      <c r="F112" t="s">
        <v>139</v>
      </c>
      <c r="G112" t="s">
        <v>162</v>
      </c>
    </row>
    <row r="113" spans="1:7" x14ac:dyDescent="0.35">
      <c r="A113" t="s">
        <v>127</v>
      </c>
      <c r="B113" s="35">
        <f>Sheet1!L38*(Sheet1!Q29+Sheet1!Q29*Sheet1!L39)+Sheet1!L40*(Sheet1!Q33+Sheet1!Q33*Sheet1!L41)</f>
        <v>5.5019117698084618E-8</v>
      </c>
      <c r="C113" t="s">
        <v>119</v>
      </c>
      <c r="D113" t="s">
        <v>145</v>
      </c>
      <c r="F113" t="s">
        <v>139</v>
      </c>
      <c r="G113" t="s">
        <v>164</v>
      </c>
    </row>
    <row r="114" spans="1:7" x14ac:dyDescent="0.35">
      <c r="A114" t="s">
        <v>132</v>
      </c>
      <c r="B114" s="35">
        <f>Sheet1!AD20*14</f>
        <v>15.797677213495879</v>
      </c>
      <c r="C114" t="s">
        <v>129</v>
      </c>
      <c r="D114" t="s">
        <v>145</v>
      </c>
      <c r="F114" t="s">
        <v>139</v>
      </c>
      <c r="G114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1B61-F3BF-49EB-93E7-128FD5FE5EA8}">
  <dimension ref="A1:AS49"/>
  <sheetViews>
    <sheetView topLeftCell="A25" zoomScale="80" zoomScaleNormal="80" workbookViewId="0">
      <selection activeCell="L37" sqref="L37"/>
    </sheetView>
  </sheetViews>
  <sheetFormatPr defaultRowHeight="19.5" customHeight="1" x14ac:dyDescent="0.35"/>
  <cols>
    <col min="1" max="1" width="9.7265625" style="5" customWidth="1"/>
    <col min="2" max="2" width="9.54296875" style="5" customWidth="1"/>
    <col min="3" max="3" width="10.36328125" style="6" bestFit="1" customWidth="1"/>
    <col min="4" max="4" width="10.36328125" style="6" customWidth="1"/>
    <col min="5" max="11" width="8.7265625" style="6"/>
    <col min="12" max="12" width="12.1796875" style="6" customWidth="1"/>
    <col min="13" max="16" width="8.7265625" style="6"/>
    <col min="17" max="17" width="10.08984375" style="6" bestFit="1" customWidth="1"/>
    <col min="18" max="18" width="10" style="6" bestFit="1" customWidth="1"/>
    <col min="19" max="21" width="8.7265625" style="6"/>
    <col min="22" max="23" width="10.36328125" style="6" bestFit="1" customWidth="1"/>
    <col min="24" max="24" width="11.08984375" style="6" bestFit="1" customWidth="1"/>
    <col min="25" max="32" width="10.36328125" style="6" bestFit="1" customWidth="1"/>
    <col min="33" max="34" width="10.36328125" style="6" customWidth="1"/>
    <col min="35" max="35" width="10.81640625" style="6" customWidth="1"/>
    <col min="36" max="36" width="8.7265625" style="6"/>
    <col min="37" max="37" width="10.90625" style="6" customWidth="1"/>
    <col min="38" max="38" width="11.90625" style="6" customWidth="1"/>
    <col min="39" max="41" width="8.7265625" style="6"/>
    <col min="42" max="42" width="10" style="6" bestFit="1" customWidth="1"/>
    <col min="43" max="16384" width="8.7265625" style="6"/>
  </cols>
  <sheetData>
    <row r="1" spans="1:45" ht="19.5" customHeight="1" x14ac:dyDescent="0.35">
      <c r="A1" s="6" t="s">
        <v>143</v>
      </c>
    </row>
    <row r="2" spans="1:45" ht="19.5" customHeight="1" x14ac:dyDescent="0.35">
      <c r="B2" s="5" t="s">
        <v>113</v>
      </c>
      <c r="L2" s="6" t="s">
        <v>8</v>
      </c>
      <c r="V2" s="25" t="s">
        <v>9</v>
      </c>
      <c r="W2" s="25"/>
      <c r="X2" s="33"/>
      <c r="Y2" s="33"/>
      <c r="Z2" s="33"/>
      <c r="AA2" s="33"/>
      <c r="AB2" s="25" t="s">
        <v>79</v>
      </c>
      <c r="AC2" s="25" t="s">
        <v>80</v>
      </c>
      <c r="AD2" s="25" t="s">
        <v>81</v>
      </c>
      <c r="AE2" s="25" t="s">
        <v>82</v>
      </c>
      <c r="AF2" s="32" t="s">
        <v>83</v>
      </c>
      <c r="AG2" s="34"/>
      <c r="AH2" s="34"/>
      <c r="AI2" s="34"/>
    </row>
    <row r="3" spans="1:45" ht="19.5" customHeight="1" x14ac:dyDescent="0.35">
      <c r="B3" s="24" t="s">
        <v>106</v>
      </c>
      <c r="C3" s="25" t="s">
        <v>107</v>
      </c>
      <c r="D3" s="25" t="s">
        <v>108</v>
      </c>
      <c r="E3" s="25" t="s">
        <v>109</v>
      </c>
      <c r="F3" s="25" t="s">
        <v>110</v>
      </c>
      <c r="G3" s="25" t="s">
        <v>111</v>
      </c>
      <c r="H3" s="25" t="s">
        <v>112</v>
      </c>
      <c r="I3" s="25" t="s">
        <v>14</v>
      </c>
      <c r="L3" s="24" t="s">
        <v>1</v>
      </c>
      <c r="M3" s="25" t="s">
        <v>2</v>
      </c>
      <c r="N3" s="25" t="s">
        <v>3</v>
      </c>
      <c r="O3" s="25" t="s">
        <v>4</v>
      </c>
      <c r="P3" s="25" t="s">
        <v>5</v>
      </c>
      <c r="Q3" s="25" t="s">
        <v>6</v>
      </c>
      <c r="R3" s="25" t="s">
        <v>7</v>
      </c>
      <c r="S3" s="25" t="s">
        <v>0</v>
      </c>
      <c r="V3" s="24" t="s">
        <v>1</v>
      </c>
      <c r="W3" s="25" t="s">
        <v>2</v>
      </c>
      <c r="X3" s="30" t="s">
        <v>3</v>
      </c>
      <c r="Y3" s="30" t="s">
        <v>4</v>
      </c>
      <c r="Z3" s="30" t="s">
        <v>5</v>
      </c>
      <c r="AA3" s="30" t="s">
        <v>6</v>
      </c>
      <c r="AB3" s="25" t="s">
        <v>12</v>
      </c>
      <c r="AC3" s="25" t="s">
        <v>13</v>
      </c>
      <c r="AD3" s="25" t="s">
        <v>0</v>
      </c>
      <c r="AE3" s="25" t="s">
        <v>6</v>
      </c>
      <c r="AF3" s="25" t="s">
        <v>7</v>
      </c>
      <c r="AG3" s="30" t="s">
        <v>177</v>
      </c>
      <c r="AH3" s="30" t="s">
        <v>176</v>
      </c>
      <c r="AI3" s="30" t="s">
        <v>14</v>
      </c>
      <c r="AJ3" s="6" t="s">
        <v>178</v>
      </c>
      <c r="AL3" s="5" t="s">
        <v>1</v>
      </c>
      <c r="AM3" s="6" t="s">
        <v>2</v>
      </c>
      <c r="AN3" s="6" t="s">
        <v>3</v>
      </c>
      <c r="AO3" s="6" t="s">
        <v>4</v>
      </c>
      <c r="AP3" s="6" t="s">
        <v>5</v>
      </c>
      <c r="AQ3" s="6" t="s">
        <v>6</v>
      </c>
      <c r="AR3" s="6" t="s">
        <v>7</v>
      </c>
      <c r="AS3" s="6" t="s">
        <v>0</v>
      </c>
    </row>
    <row r="4" spans="1:45" ht="19.5" customHeight="1" x14ac:dyDescent="0.35">
      <c r="A4" t="s">
        <v>31</v>
      </c>
      <c r="B4" s="26">
        <v>0</v>
      </c>
      <c r="C4" s="27">
        <v>0</v>
      </c>
      <c r="D4" s="27">
        <v>36</v>
      </c>
      <c r="E4" s="25">
        <v>21</v>
      </c>
      <c r="F4" s="25">
        <v>31</v>
      </c>
      <c r="G4" s="25">
        <v>9</v>
      </c>
      <c r="H4" s="25">
        <f t="shared" ref="H4:H9" si="0">100-(B4+C4+D4+E4+F4+G4)</f>
        <v>3</v>
      </c>
      <c r="I4" s="25">
        <f t="shared" ref="I4:I9" si="1">SUM(B4:H4)</f>
        <v>100</v>
      </c>
      <c r="K4" t="s">
        <v>31</v>
      </c>
      <c r="L4" s="25">
        <v>0</v>
      </c>
      <c r="M4" s="25">
        <v>0</v>
      </c>
      <c r="N4" s="25">
        <v>208</v>
      </c>
      <c r="O4" s="25">
        <v>74</v>
      </c>
      <c r="P4" s="25">
        <v>62</v>
      </c>
      <c r="Q4" s="25">
        <v>30.1</v>
      </c>
      <c r="R4" s="25"/>
      <c r="S4" s="25">
        <f t="shared" ref="S4:S9" si="2">SUM(L4:R4)</f>
        <v>374.1</v>
      </c>
      <c r="U4" t="s">
        <v>31</v>
      </c>
      <c r="V4" s="25">
        <v>0</v>
      </c>
      <c r="W4" s="25">
        <v>0</v>
      </c>
      <c r="X4" s="25">
        <v>254.5</v>
      </c>
      <c r="Y4" s="25">
        <v>149.30000000000001</v>
      </c>
      <c r="Z4" s="25">
        <v>223.5</v>
      </c>
      <c r="AA4" s="25">
        <v>79.8</v>
      </c>
      <c r="AB4" s="25">
        <v>9.8000000000000007</v>
      </c>
      <c r="AC4" s="25">
        <v>27.5</v>
      </c>
      <c r="AD4" s="25">
        <v>8.6999999999999993</v>
      </c>
      <c r="AE4" s="25">
        <v>16</v>
      </c>
      <c r="AF4" s="25">
        <f>1.9+1.8+0.5</f>
        <v>4.2</v>
      </c>
      <c r="AG4" s="25">
        <v>64</v>
      </c>
      <c r="AH4" s="25">
        <v>49</v>
      </c>
      <c r="AI4" s="25">
        <f>SUM(V4:AF4)</f>
        <v>773.3</v>
      </c>
      <c r="AJ4" s="6">
        <f>AI4-AG4</f>
        <v>709.3</v>
      </c>
      <c r="AL4" s="6">
        <f>L4*$AL$18*$AL$19*$AL$21</f>
        <v>0</v>
      </c>
      <c r="AM4" s="6">
        <f>M4*$AL$18*$AL$19*$AL$21*0.001</f>
        <v>0</v>
      </c>
      <c r="AN4" s="6">
        <f t="shared" ref="AN4:AN9" si="3">N4*$AL$18*$AL$19*$AL$23*0.001</f>
        <v>254.18016000000003</v>
      </c>
      <c r="AO4" s="6">
        <f t="shared" ref="AO4:AO9" si="4">O4*$AL$18*$AL$19*$AL$24*0.001</f>
        <v>149.09520000000001</v>
      </c>
      <c r="AP4" s="6">
        <f t="shared" ref="AP4:AP9" si="5">P4*$AL$18*$AL$19*$AL$25*0.001</f>
        <v>223.76543999999998</v>
      </c>
      <c r="AQ4" s="6">
        <f t="shared" ref="AQ4:AQ9" si="6">22*$AL$18*$AL$19*$AL$26*0.001</f>
        <v>79.015199999999993</v>
      </c>
      <c r="AS4" s="6">
        <f t="shared" ref="AS4:AS9" si="7">SUM(AL4:AR4)</f>
        <v>706.05600000000004</v>
      </c>
    </row>
    <row r="5" spans="1:45" ht="19.5" customHeight="1" x14ac:dyDescent="0.35">
      <c r="A5" t="s">
        <v>52</v>
      </c>
      <c r="B5" s="26">
        <v>0</v>
      </c>
      <c r="C5" s="27">
        <v>13</v>
      </c>
      <c r="D5" s="27">
        <v>36</v>
      </c>
      <c r="E5" s="25">
        <v>17</v>
      </c>
      <c r="F5" s="25">
        <v>23</v>
      </c>
      <c r="G5" s="25">
        <v>9</v>
      </c>
      <c r="H5" s="25">
        <f t="shared" si="0"/>
        <v>2</v>
      </c>
      <c r="I5" s="25">
        <f t="shared" si="1"/>
        <v>100</v>
      </c>
      <c r="K5" t="s">
        <v>52</v>
      </c>
      <c r="L5" s="25">
        <v>0</v>
      </c>
      <c r="M5" s="25">
        <v>15.5</v>
      </c>
      <c r="N5" s="25">
        <v>214</v>
      </c>
      <c r="O5" s="25">
        <v>59</v>
      </c>
      <c r="P5" s="25">
        <v>45</v>
      </c>
      <c r="Q5" s="25">
        <v>30.1</v>
      </c>
      <c r="R5" s="25"/>
      <c r="S5" s="25">
        <f t="shared" si="2"/>
        <v>363.6</v>
      </c>
      <c r="U5" t="s">
        <v>52</v>
      </c>
      <c r="V5" s="25">
        <v>0</v>
      </c>
      <c r="W5" s="25">
        <v>90.7</v>
      </c>
      <c r="X5" s="25">
        <v>254.9</v>
      </c>
      <c r="Y5" s="25">
        <v>118.7</v>
      </c>
      <c r="Z5" s="25">
        <v>162.4</v>
      </c>
      <c r="AA5" s="25">
        <v>79.5</v>
      </c>
      <c r="AB5" s="25">
        <v>9.8000000000000007</v>
      </c>
      <c r="AC5" s="25">
        <v>21.7</v>
      </c>
      <c r="AD5" s="25">
        <v>2.9</v>
      </c>
      <c r="AE5" s="25">
        <v>10.5</v>
      </c>
      <c r="AF5" s="25">
        <f>1.9+1.8+0.5</f>
        <v>4.2</v>
      </c>
      <c r="AG5" s="25">
        <v>65</v>
      </c>
      <c r="AH5" s="25">
        <v>42</v>
      </c>
      <c r="AI5" s="25">
        <f t="shared" ref="AI5:AI9" si="8">SUM(V5:AF5)</f>
        <v>755.30000000000007</v>
      </c>
      <c r="AJ5" s="6">
        <f t="shared" ref="AJ5:AJ9" si="9">AI5-AG5</f>
        <v>690.30000000000007</v>
      </c>
      <c r="AL5" s="6">
        <f>L5*$AL$18*$AL$19*$AL$21</f>
        <v>0</v>
      </c>
      <c r="AM5" s="6">
        <f>M5*$AL$18*$AL$19*$AL$21*0.001</f>
        <v>95.046000000000006</v>
      </c>
      <c r="AN5" s="6">
        <f t="shared" si="3"/>
        <v>261.51228000000003</v>
      </c>
      <c r="AO5" s="6">
        <f t="shared" si="4"/>
        <v>118.87320000000001</v>
      </c>
      <c r="AP5" s="6">
        <f t="shared" si="5"/>
        <v>162.41040000000001</v>
      </c>
      <c r="AQ5" s="6">
        <f t="shared" si="6"/>
        <v>79.015199999999993</v>
      </c>
      <c r="AS5" s="6">
        <f t="shared" si="7"/>
        <v>716.85708</v>
      </c>
    </row>
    <row r="6" spans="1:45" ht="19.5" customHeight="1" x14ac:dyDescent="0.35">
      <c r="A6" t="s">
        <v>53</v>
      </c>
      <c r="B6" s="26">
        <v>0</v>
      </c>
      <c r="C6" s="27">
        <v>13</v>
      </c>
      <c r="D6" s="27">
        <v>22</v>
      </c>
      <c r="E6" s="25">
        <v>21</v>
      </c>
      <c r="F6" s="27">
        <v>32</v>
      </c>
      <c r="G6" s="25">
        <v>9</v>
      </c>
      <c r="H6" s="25">
        <f t="shared" si="0"/>
        <v>3</v>
      </c>
      <c r="I6" s="25">
        <f t="shared" si="1"/>
        <v>100</v>
      </c>
      <c r="K6" t="s">
        <v>53</v>
      </c>
      <c r="L6" s="25">
        <v>0</v>
      </c>
      <c r="M6" s="25">
        <v>15.5</v>
      </c>
      <c r="N6" s="25">
        <v>125</v>
      </c>
      <c r="O6" s="25">
        <v>72</v>
      </c>
      <c r="P6" s="25">
        <v>60</v>
      </c>
      <c r="Q6" s="25">
        <v>30.1</v>
      </c>
      <c r="R6" s="25"/>
      <c r="S6" s="25">
        <f t="shared" si="2"/>
        <v>302.60000000000002</v>
      </c>
      <c r="U6" t="s">
        <v>53</v>
      </c>
      <c r="V6" s="25">
        <v>0</v>
      </c>
      <c r="W6" s="25">
        <v>91.1</v>
      </c>
      <c r="X6" s="25">
        <v>153</v>
      </c>
      <c r="Y6" s="25">
        <v>145.30000000000001</v>
      </c>
      <c r="Z6" s="25">
        <v>215.3</v>
      </c>
      <c r="AA6" s="25">
        <v>78.2</v>
      </c>
      <c r="AB6" s="25">
        <v>9.8000000000000007</v>
      </c>
      <c r="AC6" s="25">
        <v>11.8</v>
      </c>
      <c r="AD6" s="25">
        <v>8.6999999999999993</v>
      </c>
      <c r="AE6" s="25">
        <v>8.9</v>
      </c>
      <c r="AF6" s="25">
        <f>1.9+1.8+0.5</f>
        <v>4.2</v>
      </c>
      <c r="AG6" s="25">
        <v>69</v>
      </c>
      <c r="AH6" s="25">
        <v>41</v>
      </c>
      <c r="AI6" s="25">
        <f t="shared" si="8"/>
        <v>726.30000000000007</v>
      </c>
      <c r="AJ6" s="6">
        <f t="shared" si="9"/>
        <v>657.30000000000007</v>
      </c>
      <c r="AL6" s="6">
        <f>L6*$AL$18*$AL$19*$AL$21</f>
        <v>0</v>
      </c>
      <c r="AM6" s="6">
        <f>M6*$AL$18*$AL$19*$AL$21*0.001</f>
        <v>95.046000000000006</v>
      </c>
      <c r="AN6" s="6">
        <f t="shared" si="3"/>
        <v>152.7525</v>
      </c>
      <c r="AO6" s="6">
        <f t="shared" si="4"/>
        <v>145.06560000000002</v>
      </c>
      <c r="AP6" s="6">
        <f t="shared" si="5"/>
        <v>216.54719999999998</v>
      </c>
      <c r="AQ6" s="6">
        <f t="shared" si="6"/>
        <v>79.015199999999993</v>
      </c>
      <c r="AS6" s="6">
        <f t="shared" si="7"/>
        <v>688.42650000000003</v>
      </c>
    </row>
    <row r="7" spans="1:45" ht="19.5" customHeight="1" x14ac:dyDescent="0.35">
      <c r="A7" t="s">
        <v>57</v>
      </c>
      <c r="B7" s="26">
        <v>12</v>
      </c>
      <c r="C7" s="27">
        <v>14</v>
      </c>
      <c r="D7" s="27">
        <v>22</v>
      </c>
      <c r="E7" s="25">
        <v>17</v>
      </c>
      <c r="F7" s="27">
        <v>24</v>
      </c>
      <c r="G7" s="25">
        <v>9</v>
      </c>
      <c r="H7" s="25">
        <f t="shared" si="0"/>
        <v>2</v>
      </c>
      <c r="I7" s="25">
        <f t="shared" si="1"/>
        <v>100</v>
      </c>
      <c r="K7" t="s">
        <v>57</v>
      </c>
      <c r="L7" s="25">
        <v>13.2</v>
      </c>
      <c r="M7" s="25">
        <v>15.5</v>
      </c>
      <c r="N7" s="25">
        <v>118</v>
      </c>
      <c r="O7" s="25">
        <v>58</v>
      </c>
      <c r="P7" s="25">
        <v>45</v>
      </c>
      <c r="Q7" s="25">
        <v>30.1</v>
      </c>
      <c r="R7" s="25"/>
      <c r="S7" s="25">
        <f t="shared" si="2"/>
        <v>279.8</v>
      </c>
      <c r="U7" t="s">
        <v>57</v>
      </c>
      <c r="V7" s="25">
        <v>89.6</v>
      </c>
      <c r="W7" s="25">
        <v>92.4</v>
      </c>
      <c r="X7" s="25">
        <v>144.4</v>
      </c>
      <c r="Y7" s="25">
        <v>117.3</v>
      </c>
      <c r="Z7" s="25">
        <v>160.19999999999999</v>
      </c>
      <c r="AA7" s="25">
        <v>77.900000000000006</v>
      </c>
      <c r="AB7" s="25">
        <v>9.8000000000000007</v>
      </c>
      <c r="AC7" s="25">
        <v>7.7</v>
      </c>
      <c r="AD7" s="25">
        <v>0</v>
      </c>
      <c r="AE7" s="25">
        <v>5.7</v>
      </c>
      <c r="AF7" s="25">
        <f>1.9+1.8+0.5</f>
        <v>4.2</v>
      </c>
      <c r="AG7" s="25">
        <v>52</v>
      </c>
      <c r="AH7" s="25">
        <v>33</v>
      </c>
      <c r="AI7" s="25">
        <f t="shared" si="8"/>
        <v>709.2</v>
      </c>
      <c r="AJ7" s="6">
        <f t="shared" si="9"/>
        <v>657.2</v>
      </c>
      <c r="AL7" s="6">
        <f>L7*$AL$18*$AL$19*$AL$22*0.001</f>
        <v>90.192960000000014</v>
      </c>
      <c r="AM7" s="6">
        <f>M7*$AL$18*$AL$19*$AL$21*0.001</f>
        <v>95.046000000000006</v>
      </c>
      <c r="AN7" s="6">
        <f t="shared" si="3"/>
        <v>144.19836000000001</v>
      </c>
      <c r="AO7" s="6">
        <f t="shared" si="4"/>
        <v>116.85840000000002</v>
      </c>
      <c r="AP7" s="6">
        <f t="shared" si="5"/>
        <v>162.41040000000001</v>
      </c>
      <c r="AQ7" s="6">
        <f t="shared" si="6"/>
        <v>79.015199999999993</v>
      </c>
      <c r="AS7" s="6">
        <f t="shared" si="7"/>
        <v>687.72132000000011</v>
      </c>
    </row>
    <row r="8" spans="1:45" ht="19.5" customHeight="1" x14ac:dyDescent="0.35">
      <c r="A8" t="s">
        <v>58</v>
      </c>
      <c r="B8" s="26">
        <v>14</v>
      </c>
      <c r="C8" s="27">
        <v>22</v>
      </c>
      <c r="D8" s="27">
        <v>17</v>
      </c>
      <c r="E8" s="25">
        <v>16</v>
      </c>
      <c r="F8" s="27">
        <v>20</v>
      </c>
      <c r="G8" s="25">
        <v>9</v>
      </c>
      <c r="H8" s="25">
        <f t="shared" si="0"/>
        <v>2</v>
      </c>
      <c r="I8" s="25">
        <f t="shared" si="1"/>
        <v>100</v>
      </c>
      <c r="K8" t="s">
        <v>58</v>
      </c>
      <c r="L8" s="25">
        <v>23.2</v>
      </c>
      <c r="M8" s="25">
        <v>15.5</v>
      </c>
      <c r="N8" s="25">
        <v>90</v>
      </c>
      <c r="O8" s="25">
        <v>51.5</v>
      </c>
      <c r="P8" s="25">
        <v>36.1</v>
      </c>
      <c r="Q8" s="25">
        <v>30.1</v>
      </c>
      <c r="R8" s="25"/>
      <c r="S8" s="25">
        <f t="shared" si="2"/>
        <v>246.39999999999998</v>
      </c>
      <c r="U8" t="s">
        <v>58</v>
      </c>
      <c r="V8" s="25">
        <v>159.30000000000001</v>
      </c>
      <c r="W8" s="25">
        <v>93.1</v>
      </c>
      <c r="X8" s="25">
        <v>110.1</v>
      </c>
      <c r="Y8" s="25">
        <v>103.8</v>
      </c>
      <c r="Z8" s="25">
        <v>129.1</v>
      </c>
      <c r="AA8" s="25">
        <v>76.900000000000006</v>
      </c>
      <c r="AB8" s="25">
        <v>9.8000000000000007</v>
      </c>
      <c r="AC8" s="25">
        <v>0.2</v>
      </c>
      <c r="AD8" s="25">
        <v>0</v>
      </c>
      <c r="AE8" s="25">
        <v>1.9</v>
      </c>
      <c r="AF8" s="25">
        <f>1.8+0.1+1.8+0.4</f>
        <v>4.1000000000000005</v>
      </c>
      <c r="AG8" s="25">
        <v>49</v>
      </c>
      <c r="AH8" s="25">
        <v>28</v>
      </c>
      <c r="AI8" s="25">
        <f t="shared" si="8"/>
        <v>688.3</v>
      </c>
      <c r="AJ8" s="6">
        <f t="shared" si="9"/>
        <v>639.29999999999995</v>
      </c>
      <c r="AL8" s="6">
        <f>L8*$AL$18*$AL$19*$AL$22*0.001</f>
        <v>158.52096</v>
      </c>
      <c r="AM8" s="6">
        <f>M8*$AL$18*$AL$19*$AL$21*0.001</f>
        <v>95.046000000000006</v>
      </c>
      <c r="AN8" s="6">
        <f t="shared" si="3"/>
        <v>109.98180000000001</v>
      </c>
      <c r="AO8" s="6">
        <f t="shared" si="4"/>
        <v>103.76220000000001</v>
      </c>
      <c r="AP8" s="6">
        <f t="shared" si="5"/>
        <v>130.289232</v>
      </c>
      <c r="AQ8" s="6">
        <f t="shared" si="6"/>
        <v>79.015199999999993</v>
      </c>
      <c r="AS8" s="6">
        <f t="shared" si="7"/>
        <v>676.61539199999993</v>
      </c>
    </row>
    <row r="9" spans="1:45" ht="19.5" customHeight="1" x14ac:dyDescent="0.35">
      <c r="A9" t="s">
        <v>59</v>
      </c>
      <c r="B9" s="26">
        <v>23</v>
      </c>
      <c r="C9" s="27">
        <v>27</v>
      </c>
      <c r="D9" s="27">
        <v>13</v>
      </c>
      <c r="E9" s="25">
        <v>12</v>
      </c>
      <c r="F9" s="27">
        <v>12</v>
      </c>
      <c r="G9" s="25">
        <v>10</v>
      </c>
      <c r="H9" s="25">
        <f t="shared" si="0"/>
        <v>3</v>
      </c>
      <c r="I9" s="25">
        <f t="shared" si="1"/>
        <v>100</v>
      </c>
      <c r="K9" t="s">
        <v>59</v>
      </c>
      <c r="L9" s="25">
        <f>23.2+4.1</f>
        <v>27.299999999999997</v>
      </c>
      <c r="M9" s="25">
        <v>24.4</v>
      </c>
      <c r="N9" s="25">
        <v>70</v>
      </c>
      <c r="O9" s="25">
        <v>43</v>
      </c>
      <c r="P9" s="25">
        <v>22</v>
      </c>
      <c r="Q9" s="25">
        <v>30.1</v>
      </c>
      <c r="R9" s="25"/>
      <c r="S9" s="25">
        <f t="shared" si="2"/>
        <v>216.79999999999998</v>
      </c>
      <c r="U9" t="s">
        <v>59</v>
      </c>
      <c r="V9" s="25">
        <f>162.3+27</f>
        <v>189.3</v>
      </c>
      <c r="W9" s="25">
        <v>149.19999999999999</v>
      </c>
      <c r="X9" s="25">
        <v>85.7</v>
      </c>
      <c r="Y9" s="25">
        <v>86.7</v>
      </c>
      <c r="Z9" s="25">
        <v>77.900000000000006</v>
      </c>
      <c r="AA9" s="25">
        <v>75.2</v>
      </c>
      <c r="AB9" s="25">
        <v>9.8000000000000007</v>
      </c>
      <c r="AC9" s="25">
        <v>0</v>
      </c>
      <c r="AD9" s="25">
        <v>0</v>
      </c>
      <c r="AE9" s="25">
        <v>0</v>
      </c>
      <c r="AF9" s="25">
        <f>1.8+1.8</f>
        <v>3.6</v>
      </c>
      <c r="AG9" s="25">
        <v>43</v>
      </c>
      <c r="AH9" s="25">
        <v>26</v>
      </c>
      <c r="AI9" s="25">
        <f t="shared" si="8"/>
        <v>677.4</v>
      </c>
      <c r="AJ9" s="6">
        <f t="shared" si="9"/>
        <v>634.4</v>
      </c>
      <c r="AL9" s="6">
        <f>23.2*$AL$18*$AL$19*$AL$22*0.001+4.1*$AL$18*$AL$19*AM22*0.001</f>
        <v>189.22914</v>
      </c>
      <c r="AM9" s="6">
        <f>L9*$AL$18*$AL$19*$AL$21*0.001</f>
        <v>167.40359999999995</v>
      </c>
      <c r="AN9" s="6">
        <f t="shared" si="3"/>
        <v>85.54140000000001</v>
      </c>
      <c r="AO9" s="6">
        <f t="shared" si="4"/>
        <v>86.636400000000009</v>
      </c>
      <c r="AP9" s="6">
        <f t="shared" si="5"/>
        <v>79.400639999999996</v>
      </c>
      <c r="AQ9" s="6">
        <f t="shared" si="6"/>
        <v>79.015199999999993</v>
      </c>
      <c r="AS9" s="6">
        <f t="shared" si="7"/>
        <v>687.22637999999984</v>
      </c>
    </row>
    <row r="10" spans="1:45" ht="19.5" customHeight="1" x14ac:dyDescent="0.35">
      <c r="A10" s="1"/>
      <c r="B10" s="1"/>
      <c r="C10" s="3"/>
      <c r="D10" s="3"/>
      <c r="F10" s="2"/>
    </row>
    <row r="11" spans="1:45" ht="19.5" customHeight="1" x14ac:dyDescent="0.35">
      <c r="A11" s="1"/>
      <c r="B11" s="1"/>
      <c r="C11" s="3"/>
      <c r="D11" s="3"/>
      <c r="F11" s="2"/>
      <c r="V11" s="25">
        <f t="shared" ref="V11:W11" si="10">V4*$AJ$4/$AI$4</f>
        <v>0</v>
      </c>
      <c r="W11" s="25">
        <f t="shared" si="10"/>
        <v>0</v>
      </c>
      <c r="X11" s="25">
        <f>X4*$AJ$4/$AI$4</f>
        <v>233.43702314754944</v>
      </c>
      <c r="Y11" s="25">
        <f t="shared" ref="Y11:AF11" si="11">Y4*$AJ$4/$AI$4</f>
        <v>136.94360532781587</v>
      </c>
      <c r="Z11" s="25">
        <f t="shared" si="11"/>
        <v>205.00265097633519</v>
      </c>
      <c r="AA11" s="25">
        <f t="shared" si="11"/>
        <v>73.195577395577388</v>
      </c>
      <c r="AB11" s="25">
        <f t="shared" si="11"/>
        <v>8.9889305573516101</v>
      </c>
      <c r="AC11" s="25">
        <f t="shared" si="11"/>
        <v>25.224039829302988</v>
      </c>
      <c r="AD11" s="25">
        <f t="shared" si="11"/>
        <v>7.9799689641794895</v>
      </c>
      <c r="AE11" s="25">
        <f t="shared" si="11"/>
        <v>14.675804991594465</v>
      </c>
      <c r="AF11" s="25">
        <f t="shared" si="11"/>
        <v>3.8523988102935474</v>
      </c>
      <c r="AG11" s="25"/>
      <c r="AH11" s="25">
        <v>49</v>
      </c>
      <c r="AI11" s="6">
        <f>SUM(V11:AH11)</f>
        <v>758.3</v>
      </c>
    </row>
    <row r="12" spans="1:45" ht="19.5" customHeight="1" x14ac:dyDescent="0.35">
      <c r="A12" s="1"/>
      <c r="B12" s="1"/>
      <c r="C12" s="3"/>
      <c r="D12" s="3"/>
      <c r="F12" s="2"/>
      <c r="V12" s="25">
        <f t="shared" ref="V12:AF12" si="12">V5*$AJ$4/$AI$4</f>
        <v>0</v>
      </c>
      <c r="W12" s="25">
        <f t="shared" si="12"/>
        <v>83.193469546101127</v>
      </c>
      <c r="X12" s="25">
        <f t="shared" si="12"/>
        <v>233.80391827233936</v>
      </c>
      <c r="Y12" s="25">
        <f t="shared" si="12"/>
        <v>108.87612828139144</v>
      </c>
      <c r="Z12" s="25">
        <f t="shared" si="12"/>
        <v>148.95942066468382</v>
      </c>
      <c r="AA12" s="25">
        <f t="shared" si="12"/>
        <v>72.920406051984997</v>
      </c>
      <c r="AB12" s="25">
        <f t="shared" si="12"/>
        <v>8.9889305573516101</v>
      </c>
      <c r="AC12" s="25">
        <f t="shared" si="12"/>
        <v>19.904060519849992</v>
      </c>
      <c r="AD12" s="25">
        <f t="shared" si="12"/>
        <v>2.6599896547264965</v>
      </c>
      <c r="AE12" s="25">
        <f t="shared" si="12"/>
        <v>9.6309970257338673</v>
      </c>
      <c r="AF12" s="25">
        <f t="shared" si="12"/>
        <v>3.8523988102935474</v>
      </c>
      <c r="AG12" s="25"/>
      <c r="AH12" s="25">
        <v>42</v>
      </c>
      <c r="AI12" s="6">
        <f t="shared" ref="AI12:AI16" si="13">SUM(V12:AH12)</f>
        <v>734.78971938445625</v>
      </c>
    </row>
    <row r="13" spans="1:45" ht="19.5" customHeight="1" x14ac:dyDescent="0.35">
      <c r="A13" s="1"/>
      <c r="B13" s="1"/>
      <c r="C13" s="3"/>
      <c r="D13" s="3"/>
      <c r="F13" s="2"/>
      <c r="V13" s="25">
        <f t="shared" ref="V13:AF13" si="14">V6*$AJ$4/$AI$4</f>
        <v>0</v>
      </c>
      <c r="W13" s="25">
        <f t="shared" si="14"/>
        <v>83.560364670890976</v>
      </c>
      <c r="X13" s="25">
        <f t="shared" si="14"/>
        <v>140.33738523212207</v>
      </c>
      <c r="Y13" s="25">
        <f t="shared" si="14"/>
        <v>133.27465407991727</v>
      </c>
      <c r="Z13" s="25">
        <f t="shared" si="14"/>
        <v>197.48130091814303</v>
      </c>
      <c r="AA13" s="25">
        <f t="shared" si="14"/>
        <v>71.727996896417949</v>
      </c>
      <c r="AB13" s="25">
        <f t="shared" si="14"/>
        <v>8.9889305573516101</v>
      </c>
      <c r="AC13" s="25">
        <f t="shared" si="14"/>
        <v>10.823406181300918</v>
      </c>
      <c r="AD13" s="25">
        <f t="shared" si="14"/>
        <v>7.9799689641794895</v>
      </c>
      <c r="AE13" s="25">
        <f t="shared" si="14"/>
        <v>8.1634165265744212</v>
      </c>
      <c r="AF13" s="25">
        <f t="shared" si="14"/>
        <v>3.8523988102935474</v>
      </c>
      <c r="AG13" s="25"/>
      <c r="AH13" s="25">
        <v>41</v>
      </c>
      <c r="AI13" s="6">
        <f t="shared" si="13"/>
        <v>707.18982283719129</v>
      </c>
    </row>
    <row r="14" spans="1:45" ht="19.5" customHeight="1" x14ac:dyDescent="0.35">
      <c r="A14" s="1"/>
      <c r="B14" s="1"/>
      <c r="C14" s="3"/>
      <c r="D14" s="3"/>
      <c r="F14" s="2"/>
      <c r="V14" s="25">
        <f t="shared" ref="V14:AF14" si="15">V7*$AJ$4/$AI$4</f>
        <v>82.184507952928996</v>
      </c>
      <c r="W14" s="25">
        <f t="shared" si="15"/>
        <v>84.752773826458053</v>
      </c>
      <c r="X14" s="25">
        <f t="shared" si="15"/>
        <v>132.44914004914006</v>
      </c>
      <c r="Y14" s="25">
        <f t="shared" si="15"/>
        <v>107.59199534462692</v>
      </c>
      <c r="Z14" s="25">
        <f t="shared" si="15"/>
        <v>146.94149747833958</v>
      </c>
      <c r="AA14" s="25">
        <f t="shared" si="15"/>
        <v>71.452825552825558</v>
      </c>
      <c r="AB14" s="25">
        <f t="shared" si="15"/>
        <v>8.9889305573516101</v>
      </c>
      <c r="AC14" s="25">
        <f t="shared" si="15"/>
        <v>7.0627311522048366</v>
      </c>
      <c r="AD14" s="25">
        <f t="shared" si="15"/>
        <v>0</v>
      </c>
      <c r="AE14" s="25">
        <f t="shared" si="15"/>
        <v>5.2282555282555281</v>
      </c>
      <c r="AF14" s="25">
        <f t="shared" si="15"/>
        <v>3.8523988102935474</v>
      </c>
      <c r="AG14" s="25"/>
      <c r="AH14" s="25">
        <v>33</v>
      </c>
      <c r="AI14" s="6">
        <f t="shared" si="13"/>
        <v>683.50505625242465</v>
      </c>
    </row>
    <row r="15" spans="1:45" ht="19.5" customHeight="1" x14ac:dyDescent="0.35">
      <c r="A15" s="1"/>
      <c r="B15" s="1"/>
      <c r="C15" s="3"/>
      <c r="D15" s="3"/>
      <c r="F15" s="2"/>
      <c r="V15" s="25">
        <f t="shared" ref="V15:AF15" si="16">V8*$AJ$4/$AI$4</f>
        <v>146.1159834475624</v>
      </c>
      <c r="W15" s="25">
        <f t="shared" si="16"/>
        <v>85.394840294840279</v>
      </c>
      <c r="X15" s="25">
        <f t="shared" si="16"/>
        <v>100.98788309840941</v>
      </c>
      <c r="Y15" s="25">
        <f t="shared" si="16"/>
        <v>95.209284882969101</v>
      </c>
      <c r="Z15" s="25">
        <f t="shared" si="16"/>
        <v>118.41540152592783</v>
      </c>
      <c r="AA15" s="25">
        <f t="shared" si="16"/>
        <v>70.5355877408509</v>
      </c>
      <c r="AB15" s="25">
        <f t="shared" si="16"/>
        <v>8.9889305573516101</v>
      </c>
      <c r="AC15" s="25">
        <f t="shared" si="16"/>
        <v>0.18344756239493082</v>
      </c>
      <c r="AD15" s="25">
        <f t="shared" si="16"/>
        <v>0</v>
      </c>
      <c r="AE15" s="25">
        <f t="shared" si="16"/>
        <v>1.7427518427518427</v>
      </c>
      <c r="AF15" s="25">
        <f t="shared" si="16"/>
        <v>3.760675029096082</v>
      </c>
      <c r="AG15" s="25"/>
      <c r="AH15" s="25">
        <v>28</v>
      </c>
      <c r="AI15" s="6">
        <f t="shared" si="13"/>
        <v>659.33478598215447</v>
      </c>
    </row>
    <row r="16" spans="1:45" ht="19.5" customHeight="1" x14ac:dyDescent="0.35">
      <c r="A16" s="1"/>
      <c r="B16" s="1"/>
      <c r="C16" s="3"/>
      <c r="D16" s="3"/>
      <c r="F16" s="2"/>
      <c r="V16" s="25">
        <f t="shared" ref="V16:AF16" si="17">V9*$AJ$4/$AI$4</f>
        <v>173.63311780680201</v>
      </c>
      <c r="W16" s="25">
        <f t="shared" si="17"/>
        <v>136.85188154661839</v>
      </c>
      <c r="X16" s="25">
        <f t="shared" si="17"/>
        <v>78.60728048622785</v>
      </c>
      <c r="Y16" s="25">
        <f t="shared" si="17"/>
        <v>79.524518298202509</v>
      </c>
      <c r="Z16" s="25">
        <f t="shared" si="17"/>
        <v>71.452825552825558</v>
      </c>
      <c r="AA16" s="25">
        <f t="shared" si="17"/>
        <v>68.976283460493988</v>
      </c>
      <c r="AB16" s="25">
        <f t="shared" si="17"/>
        <v>8.9889305573516101</v>
      </c>
      <c r="AC16" s="25">
        <f t="shared" si="17"/>
        <v>0</v>
      </c>
      <c r="AD16" s="25">
        <f t="shared" si="17"/>
        <v>0</v>
      </c>
      <c r="AE16" s="25">
        <f t="shared" si="17"/>
        <v>0</v>
      </c>
      <c r="AF16" s="25">
        <f t="shared" si="17"/>
        <v>3.3020561231087551</v>
      </c>
      <c r="AG16" s="25"/>
      <c r="AH16" s="25">
        <v>26</v>
      </c>
      <c r="AI16" s="6">
        <f t="shared" si="13"/>
        <v>647.33689383163062</v>
      </c>
    </row>
    <row r="17" spans="1:44" ht="19.5" customHeight="1" x14ac:dyDescent="0.35">
      <c r="A17" s="1"/>
      <c r="B17" s="1"/>
      <c r="C17" s="3"/>
      <c r="D17" s="3"/>
      <c r="F17" s="2"/>
    </row>
    <row r="18" spans="1:44" ht="19.5" customHeight="1" x14ac:dyDescent="0.35">
      <c r="A18" s="1"/>
      <c r="B18" s="1"/>
      <c r="C18" s="2"/>
      <c r="D18" s="2"/>
      <c r="F18" s="2"/>
      <c r="U18" t="s">
        <v>31</v>
      </c>
      <c r="V18" s="25">
        <f t="shared" ref="V18:W18" si="18">V11*100/$AI$11</f>
        <v>0</v>
      </c>
      <c r="W18" s="25">
        <f t="shared" si="18"/>
        <v>0</v>
      </c>
      <c r="X18" s="25">
        <f>X11*100/$AI$11</f>
        <v>30.784257305492478</v>
      </c>
      <c r="Y18" s="25">
        <f t="shared" ref="Y18:AH18" si="19">Y11*100/$AI$11</f>
        <v>18.059291220864552</v>
      </c>
      <c r="Z18" s="25">
        <f t="shared" si="19"/>
        <v>27.034504942151553</v>
      </c>
      <c r="AA18" s="25">
        <f t="shared" si="19"/>
        <v>9.6525883417614917</v>
      </c>
      <c r="AB18" s="25">
        <f t="shared" si="19"/>
        <v>1.1854055858303589</v>
      </c>
      <c r="AC18" s="25">
        <f t="shared" si="19"/>
        <v>3.3263932255443742</v>
      </c>
      <c r="AD18" s="25">
        <f t="shared" si="19"/>
        <v>1.0523498568085836</v>
      </c>
      <c r="AE18" s="25">
        <f t="shared" si="19"/>
        <v>1.9353560584985448</v>
      </c>
      <c r="AF18" s="25">
        <f t="shared" si="19"/>
        <v>0.50803096535586811</v>
      </c>
      <c r="AG18" s="25">
        <f t="shared" si="19"/>
        <v>0</v>
      </c>
      <c r="AH18" s="25">
        <f t="shared" si="19"/>
        <v>6.4618224976922063</v>
      </c>
      <c r="AI18" s="6">
        <f>SUM(V18:AH18)</f>
        <v>100.00000000000001</v>
      </c>
      <c r="AK18" s="6" t="s">
        <v>10</v>
      </c>
      <c r="AL18" s="6">
        <v>365</v>
      </c>
    </row>
    <row r="19" spans="1:44" ht="19.5" customHeight="1" x14ac:dyDescent="0.35">
      <c r="A19" s="1"/>
      <c r="B19" s="1"/>
      <c r="C19" s="2"/>
      <c r="D19" s="2"/>
      <c r="F19" s="2"/>
      <c r="K19" s="28" t="s">
        <v>146</v>
      </c>
      <c r="L19" s="25">
        <v>0</v>
      </c>
      <c r="M19" s="25"/>
      <c r="N19" s="25">
        <f>132+90</f>
        <v>222</v>
      </c>
      <c r="O19" s="25">
        <v>83</v>
      </c>
      <c r="P19" s="25">
        <f>26+39</f>
        <v>65</v>
      </c>
      <c r="Q19" s="25">
        <v>4</v>
      </c>
      <c r="U19" t="s">
        <v>52</v>
      </c>
      <c r="V19" s="25">
        <f>V12*100/$AI$12</f>
        <v>0</v>
      </c>
      <c r="W19" s="25">
        <f t="shared" ref="W19:AH19" si="20">W12*100/$AI$12</f>
        <v>11.322078596281052</v>
      </c>
      <c r="X19" s="25">
        <f t="shared" si="20"/>
        <v>31.819160244675199</v>
      </c>
      <c r="Y19" s="25">
        <f t="shared" si="20"/>
        <v>14.817317854228897</v>
      </c>
      <c r="Z19" s="25">
        <f t="shared" si="20"/>
        <v>20.272387696097496</v>
      </c>
      <c r="AA19" s="25">
        <f t="shared" si="20"/>
        <v>9.9239828931019147</v>
      </c>
      <c r="AB19" s="25">
        <f t="shared" si="20"/>
        <v>1.2233337402817455</v>
      </c>
      <c r="AC19" s="25">
        <f t="shared" si="20"/>
        <v>2.7088104249095788</v>
      </c>
      <c r="AD19" s="25">
        <f t="shared" si="20"/>
        <v>0.36200692314459815</v>
      </c>
      <c r="AE19" s="25">
        <f t="shared" si="20"/>
        <v>1.3107147217304413</v>
      </c>
      <c r="AF19" s="25">
        <f t="shared" si="20"/>
        <v>0.52428588869217663</v>
      </c>
      <c r="AG19" s="25">
        <f t="shared" si="20"/>
        <v>0</v>
      </c>
      <c r="AH19" s="25">
        <f t="shared" si="20"/>
        <v>5.7159210168569032</v>
      </c>
      <c r="AI19" s="6">
        <f t="shared" ref="AI19:AI23" si="21">SUM(V19:AH19)</f>
        <v>99.999999999999972</v>
      </c>
      <c r="AK19" s="6" t="s">
        <v>11</v>
      </c>
      <c r="AL19" s="6">
        <v>24</v>
      </c>
    </row>
    <row r="20" spans="1:44" ht="19.5" customHeight="1" x14ac:dyDescent="0.35">
      <c r="A20" s="1"/>
      <c r="B20" s="1"/>
      <c r="C20" s="2"/>
      <c r="D20" s="2"/>
      <c r="F20" s="2"/>
      <c r="K20" s="29"/>
      <c r="L20" s="25">
        <v>0</v>
      </c>
      <c r="M20" s="25"/>
      <c r="N20" s="25">
        <f>114+114</f>
        <v>228</v>
      </c>
      <c r="O20" s="25">
        <v>68</v>
      </c>
      <c r="P20" s="25">
        <f>19+28</f>
        <v>47</v>
      </c>
      <c r="Q20" s="25">
        <v>4</v>
      </c>
      <c r="U20" t="s">
        <v>53</v>
      </c>
      <c r="V20" s="25">
        <f>V13*100/$AI$13</f>
        <v>0</v>
      </c>
      <c r="W20" s="25">
        <f t="shared" ref="W20:AH20" si="22">W13*100/$AI$13</f>
        <v>11.815832464281401</v>
      </c>
      <c r="X20" s="25">
        <f t="shared" si="22"/>
        <v>19.844372854391377</v>
      </c>
      <c r="Y20" s="25">
        <f t="shared" si="22"/>
        <v>18.845669122503715</v>
      </c>
      <c r="Z20" s="25">
        <f t="shared" si="22"/>
        <v>27.92479395784617</v>
      </c>
      <c r="AA20" s="25">
        <f t="shared" si="22"/>
        <v>10.14267945891115</v>
      </c>
      <c r="AB20" s="25">
        <f t="shared" si="22"/>
        <v>1.2710774769479447</v>
      </c>
      <c r="AC20" s="25">
        <f t="shared" si="22"/>
        <v>1.5304810436720149</v>
      </c>
      <c r="AD20" s="25">
        <f t="shared" si="22"/>
        <v>1.1284055152497057</v>
      </c>
      <c r="AE20" s="25">
        <f t="shared" si="22"/>
        <v>1.1543458719221129</v>
      </c>
      <c r="AF20" s="25">
        <f t="shared" si="22"/>
        <v>0.54474749012054768</v>
      </c>
      <c r="AG20" s="25">
        <f t="shared" si="22"/>
        <v>0</v>
      </c>
      <c r="AH20" s="25">
        <f t="shared" si="22"/>
        <v>5.7975947441538604</v>
      </c>
      <c r="AI20" s="6">
        <f t="shared" si="21"/>
        <v>100</v>
      </c>
      <c r="AK20" s="6" t="s">
        <v>115</v>
      </c>
      <c r="AL20" s="6">
        <v>2050</v>
      </c>
      <c r="AO20" s="6">
        <v>2021</v>
      </c>
      <c r="AQ20" s="6" t="s">
        <v>147</v>
      </c>
    </row>
    <row r="21" spans="1:44" ht="19.5" customHeight="1" x14ac:dyDescent="0.35">
      <c r="A21" s="1"/>
      <c r="B21" s="1"/>
      <c r="C21" s="2"/>
      <c r="D21" s="2"/>
      <c r="F21" s="2"/>
      <c r="K21" s="29"/>
      <c r="L21" s="25">
        <v>0</v>
      </c>
      <c r="M21" s="25"/>
      <c r="N21" s="25">
        <f>89+49</f>
        <v>138</v>
      </c>
      <c r="O21" s="25">
        <v>81</v>
      </c>
      <c r="P21" s="25">
        <f>25+38</f>
        <v>63</v>
      </c>
      <c r="Q21" s="25">
        <v>4</v>
      </c>
      <c r="U21" t="s">
        <v>57</v>
      </c>
      <c r="V21" s="25">
        <f>V14*100/$AI$14</f>
        <v>12.02397951575321</v>
      </c>
      <c r="W21" s="25">
        <f t="shared" ref="W21:AH21" si="23">W14*100/$AI$14</f>
        <v>12.399728875620502</v>
      </c>
      <c r="X21" s="25">
        <f t="shared" si="23"/>
        <v>19.377931273155848</v>
      </c>
      <c r="Y21" s="25">
        <f t="shared" si="23"/>
        <v>15.741214254440308</v>
      </c>
      <c r="Z21" s="25">
        <f t="shared" si="23"/>
        <v>21.498231232406969</v>
      </c>
      <c r="AA21" s="25">
        <f t="shared" si="23"/>
        <v>10.453883976307759</v>
      </c>
      <c r="AB21" s="25">
        <f t="shared" si="23"/>
        <v>1.3151227595355075</v>
      </c>
      <c r="AC21" s="25">
        <f t="shared" si="23"/>
        <v>1.0333107396350416</v>
      </c>
      <c r="AD21" s="25">
        <f t="shared" si="23"/>
        <v>0</v>
      </c>
      <c r="AE21" s="25">
        <f t="shared" si="23"/>
        <v>0.76491833972983592</v>
      </c>
      <c r="AF21" s="25">
        <f t="shared" si="23"/>
        <v>0.5636240398009319</v>
      </c>
      <c r="AG21" s="25">
        <f t="shared" si="23"/>
        <v>0</v>
      </c>
      <c r="AH21" s="25">
        <f t="shared" si="23"/>
        <v>4.8280549936140922</v>
      </c>
      <c r="AI21" s="6">
        <f t="shared" si="21"/>
        <v>100</v>
      </c>
      <c r="AK21" s="25" t="s">
        <v>2</v>
      </c>
      <c r="AL21" s="25">
        <v>0.7</v>
      </c>
      <c r="AN21" s="6" t="s">
        <v>116</v>
      </c>
      <c r="AO21" s="25">
        <v>0.7</v>
      </c>
      <c r="AQ21" s="25">
        <v>208</v>
      </c>
      <c r="AR21" s="6">
        <f t="shared" ref="AR21:AR26" si="24">X4/(AQ21*$AL$18*$AL$19*0.001)</f>
        <v>0.13967553565156304</v>
      </c>
    </row>
    <row r="22" spans="1:44" ht="19.5" customHeight="1" x14ac:dyDescent="0.35">
      <c r="A22" s="1"/>
      <c r="B22" s="1"/>
      <c r="C22" s="2"/>
      <c r="D22" s="2"/>
      <c r="F22" s="2"/>
      <c r="K22" s="29"/>
      <c r="L22" s="25">
        <v>13</v>
      </c>
      <c r="M22" s="25"/>
      <c r="N22" s="25">
        <f>86+46</f>
        <v>132</v>
      </c>
      <c r="O22" s="25">
        <v>67</v>
      </c>
      <c r="P22" s="25">
        <f>19+28</f>
        <v>47</v>
      </c>
      <c r="Q22" s="25">
        <v>4</v>
      </c>
      <c r="U22" t="s">
        <v>58</v>
      </c>
      <c r="V22" s="25">
        <f>V15*100/$AI$15</f>
        <v>22.161121565868232</v>
      </c>
      <c r="W22" s="25">
        <f t="shared" ref="W22:AH22" si="25">W15*100/$AI$15</f>
        <v>12.951666150548226</v>
      </c>
      <c r="X22" s="25">
        <f t="shared" si="25"/>
        <v>15.31663204269989</v>
      </c>
      <c r="Y22" s="25">
        <f t="shared" si="25"/>
        <v>14.440203506196626</v>
      </c>
      <c r="Z22" s="25">
        <f t="shared" si="25"/>
        <v>17.959829216281157</v>
      </c>
      <c r="AA22" s="25">
        <f t="shared" si="25"/>
        <v>10.697992770968407</v>
      </c>
      <c r="AB22" s="25">
        <f t="shared" si="25"/>
        <v>1.3633332790050765</v>
      </c>
      <c r="AC22" s="25">
        <f t="shared" si="25"/>
        <v>2.7823128142960746E-2</v>
      </c>
      <c r="AD22" s="25">
        <f t="shared" si="25"/>
        <v>0</v>
      </c>
      <c r="AE22" s="25">
        <f t="shared" si="25"/>
        <v>0.26431971735812709</v>
      </c>
      <c r="AF22" s="25">
        <f t="shared" si="25"/>
        <v>0.57037412693069534</v>
      </c>
      <c r="AG22" s="25">
        <f t="shared" si="25"/>
        <v>0</v>
      </c>
      <c r="AH22" s="25">
        <f t="shared" si="25"/>
        <v>4.2467044960005866</v>
      </c>
      <c r="AI22" s="6">
        <f t="shared" si="21"/>
        <v>100</v>
      </c>
      <c r="AK22" s="25" t="s">
        <v>1</v>
      </c>
      <c r="AL22" s="25">
        <v>0.78</v>
      </c>
      <c r="AM22" s="25">
        <v>0.85499999999999998</v>
      </c>
      <c r="AQ22" s="25">
        <v>214</v>
      </c>
      <c r="AR22" s="6">
        <f t="shared" si="24"/>
        <v>0.13597277343916697</v>
      </c>
    </row>
    <row r="23" spans="1:44" ht="19.5" customHeight="1" x14ac:dyDescent="0.35">
      <c r="A23" s="1"/>
      <c r="B23" s="1"/>
      <c r="C23" s="2"/>
      <c r="D23" s="2"/>
      <c r="F23" s="2"/>
      <c r="K23" s="29"/>
      <c r="L23" s="25">
        <v>23</v>
      </c>
      <c r="M23" s="25"/>
      <c r="N23" s="25">
        <f>61+43</f>
        <v>104</v>
      </c>
      <c r="O23" s="25">
        <v>61</v>
      </c>
      <c r="P23" s="25">
        <f>16+23</f>
        <v>39</v>
      </c>
      <c r="Q23" s="25">
        <v>4</v>
      </c>
      <c r="U23" t="s">
        <v>59</v>
      </c>
      <c r="V23" s="25">
        <f>V16*100/$AI$16</f>
        <v>26.822682201698083</v>
      </c>
      <c r="W23" s="25">
        <f t="shared" ref="W23:AH23" si="26">W16*100/$AI$16</f>
        <v>21.140751106673822</v>
      </c>
      <c r="X23" s="25">
        <f t="shared" si="26"/>
        <v>12.143179422533152</v>
      </c>
      <c r="Y23" s="25">
        <f t="shared" si="26"/>
        <v>12.284873464803086</v>
      </c>
      <c r="Z23" s="25">
        <f t="shared" si="26"/>
        <v>11.037965892827687</v>
      </c>
      <c r="AA23" s="25">
        <f t="shared" si="26"/>
        <v>10.655391978698869</v>
      </c>
      <c r="AB23" s="25">
        <f t="shared" si="26"/>
        <v>1.3886016142453315</v>
      </c>
      <c r="AC23" s="25">
        <f t="shared" si="26"/>
        <v>0</v>
      </c>
      <c r="AD23" s="25">
        <f t="shared" si="26"/>
        <v>0</v>
      </c>
      <c r="AE23" s="25">
        <f t="shared" si="26"/>
        <v>0</v>
      </c>
      <c r="AF23" s="25">
        <f t="shared" si="26"/>
        <v>0.51009855217175448</v>
      </c>
      <c r="AG23" s="25">
        <f t="shared" si="26"/>
        <v>0</v>
      </c>
      <c r="AH23" s="25">
        <f t="shared" si="26"/>
        <v>4.0164557663482228</v>
      </c>
      <c r="AI23" s="6">
        <f t="shared" si="21"/>
        <v>100</v>
      </c>
      <c r="AK23" s="25" t="s">
        <v>3</v>
      </c>
      <c r="AL23" s="25">
        <v>0.13950000000000001</v>
      </c>
      <c r="AN23" s="6" t="s">
        <v>117</v>
      </c>
      <c r="AO23" s="25">
        <v>0.17</v>
      </c>
      <c r="AQ23" s="25">
        <v>125</v>
      </c>
      <c r="AR23" s="6">
        <f t="shared" si="24"/>
        <v>0.13972602739726028</v>
      </c>
    </row>
    <row r="24" spans="1:44" ht="19.5" customHeight="1" x14ac:dyDescent="0.35">
      <c r="A24" s="1"/>
      <c r="B24" s="1"/>
      <c r="C24" s="2"/>
      <c r="D24" s="2"/>
      <c r="F24" s="2"/>
      <c r="K24" s="30"/>
      <c r="L24" s="25">
        <v>23</v>
      </c>
      <c r="M24" s="25"/>
      <c r="N24" s="25">
        <f>49+35</f>
        <v>84</v>
      </c>
      <c r="O24" s="25">
        <v>52</v>
      </c>
      <c r="P24" s="25">
        <f>11+14</f>
        <v>25</v>
      </c>
      <c r="Q24" s="25">
        <v>4</v>
      </c>
      <c r="AK24" s="25" t="s">
        <v>4</v>
      </c>
      <c r="AL24" s="25">
        <v>0.23</v>
      </c>
      <c r="AN24" s="6" t="s">
        <v>118</v>
      </c>
      <c r="AO24" s="25">
        <v>0.25</v>
      </c>
      <c r="AQ24" s="25">
        <v>118</v>
      </c>
      <c r="AR24" s="6">
        <f t="shared" si="24"/>
        <v>0.1396950700410185</v>
      </c>
    </row>
    <row r="25" spans="1:44" ht="19.5" customHeight="1" x14ac:dyDescent="0.35">
      <c r="A25" s="1"/>
      <c r="B25" s="1"/>
      <c r="C25" s="2"/>
      <c r="D25" s="2"/>
      <c r="F25" s="2"/>
      <c r="K25" s="25" t="s">
        <v>41</v>
      </c>
      <c r="L25" s="25"/>
      <c r="M25" s="25"/>
      <c r="N25" s="25">
        <v>14.6</v>
      </c>
      <c r="O25" s="25">
        <v>20.8</v>
      </c>
      <c r="P25" s="25"/>
      <c r="Q25" s="25">
        <v>25.5</v>
      </c>
      <c r="V25" s="6" t="s">
        <v>15</v>
      </c>
      <c r="AI25" s="6" t="s">
        <v>105</v>
      </c>
      <c r="AK25" s="25" t="s">
        <v>5</v>
      </c>
      <c r="AL25" s="25">
        <v>0.41199999999999998</v>
      </c>
      <c r="AQ25" s="25">
        <v>90</v>
      </c>
      <c r="AR25" s="6">
        <f t="shared" si="24"/>
        <v>0.13964992389649925</v>
      </c>
    </row>
    <row r="26" spans="1:44" ht="19.5" customHeight="1" x14ac:dyDescent="0.35">
      <c r="A26" s="1"/>
      <c r="B26" s="1"/>
      <c r="C26" s="2"/>
      <c r="D26" s="2"/>
      <c r="F26" s="2"/>
      <c r="N26" s="6">
        <f>N19-N25</f>
        <v>207.4</v>
      </c>
      <c r="O26" s="6">
        <f>O19-O25</f>
        <v>62.2</v>
      </c>
      <c r="P26" s="6">
        <v>65</v>
      </c>
      <c r="U26" t="s">
        <v>31</v>
      </c>
      <c r="V26" s="25">
        <f>V11/$AI$11</f>
        <v>0</v>
      </c>
      <c r="W26" s="25">
        <f t="shared" ref="W26:AH26" si="27">W11/$AI$11</f>
        <v>0</v>
      </c>
      <c r="X26" s="25">
        <f t="shared" si="27"/>
        <v>0.3078425730549248</v>
      </c>
      <c r="Y26" s="25">
        <f t="shared" si="27"/>
        <v>0.18059291220864551</v>
      </c>
      <c r="Z26" s="25">
        <f t="shared" si="27"/>
        <v>0.27034504942151549</v>
      </c>
      <c r="AA26" s="25">
        <f t="shared" si="27"/>
        <v>9.6525883417614922E-2</v>
      </c>
      <c r="AB26" s="25">
        <f t="shared" si="27"/>
        <v>1.1854055858303588E-2</v>
      </c>
      <c r="AC26" s="37">
        <f t="shared" si="27"/>
        <v>3.3263932255443746E-2</v>
      </c>
      <c r="AD26" s="37">
        <f t="shared" si="27"/>
        <v>1.0523498568085836E-2</v>
      </c>
      <c r="AE26" s="37">
        <f t="shared" si="27"/>
        <v>1.9353560584985448E-2</v>
      </c>
      <c r="AF26" s="37">
        <f t="shared" si="27"/>
        <v>5.080309653558681E-3</v>
      </c>
      <c r="AG26" s="25">
        <f t="shared" si="27"/>
        <v>0</v>
      </c>
      <c r="AH26" s="25">
        <f t="shared" si="27"/>
        <v>6.4618224976922073E-2</v>
      </c>
      <c r="AI26" s="25">
        <f>SUM(AC26:AF26)</f>
        <v>6.8221301062073719E-2</v>
      </c>
      <c r="AJ26" s="6">
        <f>SUM(V26:AB26)+AH26+AI26</f>
        <v>1</v>
      </c>
      <c r="AK26" s="25" t="s">
        <v>6</v>
      </c>
      <c r="AL26" s="25">
        <v>0.41</v>
      </c>
      <c r="AQ26" s="25">
        <v>70</v>
      </c>
      <c r="AR26" s="6">
        <f t="shared" si="24"/>
        <v>0.13975864318330072</v>
      </c>
    </row>
    <row r="27" spans="1:44" ht="19.5" customHeight="1" x14ac:dyDescent="0.35">
      <c r="A27" s="1"/>
      <c r="B27" s="1"/>
      <c r="C27" s="2"/>
      <c r="D27" s="2"/>
      <c r="F27" s="2"/>
      <c r="U27" t="s">
        <v>52</v>
      </c>
      <c r="V27" s="25">
        <f>V12/$AI$12</f>
        <v>0</v>
      </c>
      <c r="W27" s="25">
        <f t="shared" ref="W27:AH27" si="28">W12/$AI$12</f>
        <v>0.11322078596281052</v>
      </c>
      <c r="X27" s="25">
        <f t="shared" si="28"/>
        <v>0.31819160244675199</v>
      </c>
      <c r="Y27" s="25">
        <f t="shared" si="28"/>
        <v>0.14817317854228898</v>
      </c>
      <c r="Z27" s="25">
        <f t="shared" si="28"/>
        <v>0.20272387696097496</v>
      </c>
      <c r="AA27" s="25">
        <f t="shared" si="28"/>
        <v>9.9239828931019139E-2</v>
      </c>
      <c r="AB27" s="25">
        <f t="shared" si="28"/>
        <v>1.2233337402817455E-2</v>
      </c>
      <c r="AC27" s="37">
        <f t="shared" si="28"/>
        <v>2.7088104249095787E-2</v>
      </c>
      <c r="AD27" s="37">
        <f t="shared" si="28"/>
        <v>3.6200692314459809E-3</v>
      </c>
      <c r="AE27" s="37">
        <f t="shared" si="28"/>
        <v>1.3107147217304415E-2</v>
      </c>
      <c r="AF27" s="37">
        <f t="shared" si="28"/>
        <v>5.2428588869217665E-3</v>
      </c>
      <c r="AG27" s="25">
        <f t="shared" si="28"/>
        <v>0</v>
      </c>
      <c r="AH27" s="25">
        <f t="shared" si="28"/>
        <v>5.7159210168569036E-2</v>
      </c>
      <c r="AI27" s="25">
        <f t="shared" ref="AI27:AI31" si="29">SUM(AC27:AF27)</f>
        <v>4.905817958476795E-2</v>
      </c>
      <c r="AJ27" s="6">
        <f t="shared" ref="AJ27:AJ31" si="30">SUM(V27:AB27)+AH27+AI27</f>
        <v>1</v>
      </c>
      <c r="AR27" s="6">
        <f>AVERAGE(AR21:AR26)</f>
        <v>0.13907966226813476</v>
      </c>
    </row>
    <row r="28" spans="1:44" ht="19.5" customHeight="1" x14ac:dyDescent="0.35">
      <c r="A28" s="1"/>
      <c r="B28" s="1"/>
      <c r="C28" s="2"/>
      <c r="D28" s="2"/>
      <c r="F28" s="2"/>
      <c r="O28" s="6" t="s">
        <v>172</v>
      </c>
      <c r="Q28" s="6" t="s">
        <v>173</v>
      </c>
      <c r="U28" t="s">
        <v>53</v>
      </c>
      <c r="V28" s="25">
        <f>V13/$AI$13</f>
        <v>0</v>
      </c>
      <c r="W28" s="25">
        <f t="shared" ref="W28:AH28" si="31">W13/$AI$13</f>
        <v>0.11815832464281402</v>
      </c>
      <c r="X28" s="25">
        <f t="shared" si="31"/>
        <v>0.19844372854391379</v>
      </c>
      <c r="Y28" s="25">
        <f t="shared" si="31"/>
        <v>0.18845669122503714</v>
      </c>
      <c r="Z28" s="25">
        <f t="shared" si="31"/>
        <v>0.27924793957846172</v>
      </c>
      <c r="AA28" s="25">
        <f t="shared" si="31"/>
        <v>0.1014267945891115</v>
      </c>
      <c r="AB28" s="25">
        <f t="shared" si="31"/>
        <v>1.2710774769479445E-2</v>
      </c>
      <c r="AC28" s="37">
        <f t="shared" si="31"/>
        <v>1.5304810436720148E-2</v>
      </c>
      <c r="AD28" s="37">
        <f t="shared" si="31"/>
        <v>1.1284055152497058E-2</v>
      </c>
      <c r="AE28" s="37">
        <f t="shared" si="31"/>
        <v>1.1543458719221128E-2</v>
      </c>
      <c r="AF28" s="37">
        <f t="shared" si="31"/>
        <v>5.4474749012054773E-3</v>
      </c>
      <c r="AG28" s="25">
        <f t="shared" si="31"/>
        <v>0</v>
      </c>
      <c r="AH28" s="25">
        <f t="shared" si="31"/>
        <v>5.7975947441538604E-2</v>
      </c>
      <c r="AI28" s="25">
        <f t="shared" si="29"/>
        <v>4.3579799209643812E-2</v>
      </c>
      <c r="AJ28" s="6">
        <f t="shared" si="30"/>
        <v>1</v>
      </c>
      <c r="AK28" s="31">
        <v>5.65463552361011E-9</v>
      </c>
      <c r="AL28" s="31">
        <f>AK28*$AL$34</f>
        <v>8.1217118321093951E-9</v>
      </c>
      <c r="AM28" s="25" t="s">
        <v>100</v>
      </c>
      <c r="AN28" s="25" t="s">
        <v>102</v>
      </c>
    </row>
    <row r="29" spans="1:44" ht="19.5" customHeight="1" x14ac:dyDescent="0.35">
      <c r="A29" s="1"/>
      <c r="B29" s="1"/>
      <c r="C29" s="2"/>
      <c r="D29" s="2"/>
      <c r="F29" s="2"/>
      <c r="L29" s="6" t="s">
        <v>169</v>
      </c>
      <c r="M29" s="6">
        <v>1.00670440632908</v>
      </c>
      <c r="N29" s="6">
        <v>0.99895194484980099</v>
      </c>
      <c r="O29" s="6">
        <f>M29*N29</f>
        <v>1.0056493245912987</v>
      </c>
      <c r="Q29" s="23">
        <v>5.4E-8</v>
      </c>
      <c r="U29" t="s">
        <v>57</v>
      </c>
      <c r="V29" s="25">
        <f>V14/$AI$14</f>
        <v>0.1202397951575321</v>
      </c>
      <c r="W29" s="25">
        <f t="shared" ref="W29:AH29" si="32">W14/$AI$14</f>
        <v>0.12399728875620501</v>
      </c>
      <c r="X29" s="25">
        <f t="shared" si="32"/>
        <v>0.19377931273155846</v>
      </c>
      <c r="Y29" s="25">
        <f t="shared" si="32"/>
        <v>0.15741214254440308</v>
      </c>
      <c r="Z29" s="25">
        <f t="shared" si="32"/>
        <v>0.2149823123240697</v>
      </c>
      <c r="AA29" s="25">
        <f t="shared" si="32"/>
        <v>0.1045388397630776</v>
      </c>
      <c r="AB29" s="25">
        <f t="shared" si="32"/>
        <v>1.3151227595355076E-2</v>
      </c>
      <c r="AC29" s="37">
        <f t="shared" si="32"/>
        <v>1.0333107396350417E-2</v>
      </c>
      <c r="AD29" s="37">
        <f t="shared" si="32"/>
        <v>0</v>
      </c>
      <c r="AE29" s="37">
        <f t="shared" si="32"/>
        <v>7.6491833972983595E-3</v>
      </c>
      <c r="AF29" s="37">
        <f t="shared" si="32"/>
        <v>5.636240398009318E-3</v>
      </c>
      <c r="AG29" s="25">
        <f t="shared" si="32"/>
        <v>0</v>
      </c>
      <c r="AH29" s="25">
        <f t="shared" si="32"/>
        <v>4.8280549936140928E-2</v>
      </c>
      <c r="AI29" s="25">
        <f t="shared" si="29"/>
        <v>2.3618531191658094E-2</v>
      </c>
      <c r="AJ29" s="6">
        <f t="shared" si="30"/>
        <v>1</v>
      </c>
      <c r="AK29" s="31">
        <v>3.8616897390338299E-10</v>
      </c>
      <c r="AL29" s="31">
        <f t="shared" ref="AL29:AL32" si="33">AK29*$AL$34</f>
        <v>5.5465168558596968E-10</v>
      </c>
      <c r="AM29" s="25" t="s">
        <v>100</v>
      </c>
      <c r="AN29" s="25" t="s">
        <v>103</v>
      </c>
    </row>
    <row r="30" spans="1:44" ht="19.5" customHeight="1" x14ac:dyDescent="0.35">
      <c r="A30" s="1"/>
      <c r="B30" s="1"/>
      <c r="C30" s="2"/>
      <c r="D30" s="2"/>
      <c r="F30" s="2"/>
      <c r="L30" s="6">
        <v>4.2098906369769902E-3</v>
      </c>
      <c r="O30" s="6">
        <f>O29*L30</f>
        <v>4.2336736756791423E-3</v>
      </c>
      <c r="U30" t="s">
        <v>58</v>
      </c>
      <c r="V30" s="25">
        <f>V15/$AI$15</f>
        <v>0.22161121565868233</v>
      </c>
      <c r="W30" s="25">
        <f t="shared" ref="W30:AH30" si="34">W15/$AI$15</f>
        <v>0.12951666150548224</v>
      </c>
      <c r="X30" s="25">
        <f t="shared" si="34"/>
        <v>0.1531663204269989</v>
      </c>
      <c r="Y30" s="25">
        <f t="shared" si="34"/>
        <v>0.14440203506196628</v>
      </c>
      <c r="Z30" s="25">
        <f t="shared" si="34"/>
        <v>0.17959829216281159</v>
      </c>
      <c r="AA30" s="25">
        <f t="shared" si="34"/>
        <v>0.10697992770968406</v>
      </c>
      <c r="AB30" s="25">
        <f t="shared" si="34"/>
        <v>1.3633332790050766E-2</v>
      </c>
      <c r="AC30" s="37">
        <f t="shared" si="34"/>
        <v>2.7823128142960747E-4</v>
      </c>
      <c r="AD30" s="37">
        <f t="shared" si="34"/>
        <v>0</v>
      </c>
      <c r="AE30" s="37">
        <f t="shared" si="34"/>
        <v>2.6431971735812708E-3</v>
      </c>
      <c r="AF30" s="37">
        <f t="shared" si="34"/>
        <v>5.7037412693069526E-3</v>
      </c>
      <c r="AG30" s="25">
        <f t="shared" si="34"/>
        <v>0</v>
      </c>
      <c r="AH30" s="25">
        <f t="shared" si="34"/>
        <v>4.2467044960005869E-2</v>
      </c>
      <c r="AI30" s="25">
        <f t="shared" si="29"/>
        <v>8.6251697243178299E-3</v>
      </c>
      <c r="AJ30" s="6">
        <f t="shared" si="30"/>
        <v>0.99999999999999978</v>
      </c>
      <c r="AK30" s="31">
        <v>3.4744697665053399E-12</v>
      </c>
      <c r="AL30" s="31">
        <f t="shared" si="33"/>
        <v>4.9903556286006304E-12</v>
      </c>
      <c r="AM30" s="25" t="s">
        <v>100</v>
      </c>
      <c r="AN30" s="25" t="s">
        <v>104</v>
      </c>
    </row>
    <row r="31" spans="1:44" ht="19.5" customHeight="1" x14ac:dyDescent="0.35">
      <c r="A31" s="1"/>
      <c r="B31" s="1"/>
      <c r="C31" s="2"/>
      <c r="D31" s="2"/>
      <c r="F31" s="2"/>
      <c r="O31" s="6">
        <f>O29+O30</f>
        <v>1.0098829982669779</v>
      </c>
      <c r="Q31" s="23"/>
      <c r="R31" s="23"/>
      <c r="U31" t="s">
        <v>59</v>
      </c>
      <c r="V31" s="25">
        <f>V16/$AI$16</f>
        <v>0.26822682201698084</v>
      </c>
      <c r="W31" s="25">
        <f t="shared" ref="W31:AH31" si="35">W16/$AI$16</f>
        <v>0.21140751106673822</v>
      </c>
      <c r="X31" s="25">
        <f t="shared" si="35"/>
        <v>0.12143179422533153</v>
      </c>
      <c r="Y31" s="25">
        <f t="shared" si="35"/>
        <v>0.12284873464803085</v>
      </c>
      <c r="Z31" s="25">
        <f t="shared" si="35"/>
        <v>0.11037965892827686</v>
      </c>
      <c r="AA31" s="25">
        <f t="shared" si="35"/>
        <v>0.10655391978698869</v>
      </c>
      <c r="AB31" s="25">
        <f t="shared" si="35"/>
        <v>1.3886016142453314E-2</v>
      </c>
      <c r="AC31" s="37">
        <f t="shared" si="35"/>
        <v>0</v>
      </c>
      <c r="AD31" s="37">
        <f t="shared" si="35"/>
        <v>0</v>
      </c>
      <c r="AE31" s="37">
        <f t="shared" si="35"/>
        <v>0</v>
      </c>
      <c r="AF31" s="37">
        <f t="shared" si="35"/>
        <v>5.1009855217175448E-3</v>
      </c>
      <c r="AG31" s="25">
        <f t="shared" si="35"/>
        <v>0</v>
      </c>
      <c r="AH31" s="25">
        <f t="shared" si="35"/>
        <v>4.0164557663482224E-2</v>
      </c>
      <c r="AI31" s="25">
        <f t="shared" si="29"/>
        <v>5.1009855217175448E-3</v>
      </c>
      <c r="AJ31" s="6">
        <f t="shared" si="30"/>
        <v>1</v>
      </c>
      <c r="AK31" s="31">
        <v>1.86277676887616E-8</v>
      </c>
      <c r="AL31" s="31">
        <f t="shared" si="33"/>
        <v>2.6754927105719436E-8</v>
      </c>
      <c r="AM31" s="25" t="s">
        <v>100</v>
      </c>
      <c r="AN31" s="25" t="s">
        <v>130</v>
      </c>
    </row>
    <row r="32" spans="1:44" ht="19.5" customHeight="1" x14ac:dyDescent="0.35">
      <c r="A32" s="1"/>
      <c r="B32" s="1"/>
      <c r="C32" s="2"/>
      <c r="D32" s="2"/>
      <c r="F32" s="2"/>
      <c r="AK32" s="31">
        <v>8.7404880965322298E-8</v>
      </c>
      <c r="AL32" s="31">
        <f t="shared" si="33"/>
        <v>1.2553899415022982E-7</v>
      </c>
      <c r="AM32" s="25" t="s">
        <v>100</v>
      </c>
      <c r="AN32" s="25" t="s">
        <v>131</v>
      </c>
    </row>
    <row r="33" spans="1:42" ht="19.5" customHeight="1" x14ac:dyDescent="0.35">
      <c r="A33" s="1"/>
      <c r="B33" s="1"/>
      <c r="C33" s="2"/>
      <c r="D33" s="2"/>
      <c r="F33" s="2"/>
      <c r="L33" s="6" t="s">
        <v>170</v>
      </c>
      <c r="M33" s="6">
        <v>1.03093659171436</v>
      </c>
      <c r="N33" s="6">
        <v>0.95900950044020505</v>
      </c>
      <c r="O33" s="6">
        <f>M33*N33</f>
        <v>0.98867798580551602</v>
      </c>
      <c r="Q33" s="23">
        <v>4.03E-10</v>
      </c>
      <c r="V33" s="6" t="s">
        <v>114</v>
      </c>
    </row>
    <row r="34" spans="1:42" ht="19.5" customHeight="1" x14ac:dyDescent="0.35">
      <c r="A34" s="1"/>
      <c r="B34" s="1"/>
      <c r="C34" s="2"/>
      <c r="D34" s="2"/>
      <c r="F34" s="2"/>
      <c r="L34" s="6">
        <v>3.0698133930844199E-2</v>
      </c>
      <c r="O34" s="6">
        <f>O33*L34</f>
        <v>3.0350569222735012E-2</v>
      </c>
      <c r="Q34" s="23"/>
      <c r="AJ34" s="6" t="s">
        <v>197</v>
      </c>
      <c r="AK34" s="6">
        <v>773.3</v>
      </c>
      <c r="AL34" s="6">
        <f>AK34/AK35</f>
        <v>1.4362927191679049</v>
      </c>
      <c r="AM34" s="6" t="s">
        <v>199</v>
      </c>
    </row>
    <row r="35" spans="1:42" ht="19.5" customHeight="1" x14ac:dyDescent="0.35">
      <c r="A35" s="1"/>
      <c r="B35" s="1"/>
      <c r="C35" s="2"/>
      <c r="D35" s="2"/>
      <c r="F35" s="2"/>
      <c r="O35" s="6">
        <f>O33+O34</f>
        <v>1.019028555028251</v>
      </c>
      <c r="Q35" s="23"/>
      <c r="R35" s="23"/>
      <c r="AJ35" s="6" t="s">
        <v>198</v>
      </c>
      <c r="AK35" s="6">
        <v>538.4</v>
      </c>
    </row>
    <row r="36" spans="1:42" ht="19.5" customHeight="1" x14ac:dyDescent="0.35">
      <c r="A36" s="1"/>
      <c r="B36" s="1"/>
      <c r="C36" s="2"/>
      <c r="D36" s="2"/>
      <c r="F36" s="2"/>
      <c r="U36" s="6" t="s">
        <v>31</v>
      </c>
      <c r="V36" s="6">
        <v>0</v>
      </c>
      <c r="W36" s="6">
        <v>0</v>
      </c>
      <c r="X36" s="25">
        <v>0.322029609009236</v>
      </c>
      <c r="Y36" s="25">
        <v>0.18891560167025101</v>
      </c>
      <c r="Z36" s="25">
        <v>0.28280399848158899</v>
      </c>
      <c r="AA36" s="25">
        <f>AA39+AA40</f>
        <v>0.10097431355181571</v>
      </c>
      <c r="AB36" s="25">
        <f>AB39+AB40</f>
        <v>1.3033025433379704E-2</v>
      </c>
      <c r="AC36" s="25">
        <v>3.4796912564848702E-2</v>
      </c>
      <c r="AD36" s="25">
        <v>1.1008477793243E-2</v>
      </c>
      <c r="AE36" s="25">
        <v>2.0245476401366501E-2</v>
      </c>
      <c r="AF36" s="25">
        <f>AF40+AF41+AF42</f>
        <v>2.6192585094267896E-2</v>
      </c>
      <c r="AG36" s="25"/>
      <c r="AH36" s="25"/>
      <c r="AI36" s="31">
        <v>6.58E-9</v>
      </c>
    </row>
    <row r="37" spans="1:42" ht="19.5" customHeight="1" x14ac:dyDescent="0.35">
      <c r="A37" s="1"/>
      <c r="B37" s="1"/>
      <c r="C37" s="2"/>
      <c r="D37" s="2"/>
      <c r="F37" s="2"/>
      <c r="K37" s="6" t="s">
        <v>192</v>
      </c>
      <c r="L37" s="6">
        <v>3.1242684515255099E-2</v>
      </c>
      <c r="X37" s="6" t="s">
        <v>95</v>
      </c>
      <c r="Y37" s="6" t="s">
        <v>98</v>
      </c>
      <c r="Z37" s="6" t="s">
        <v>97</v>
      </c>
      <c r="AA37" s="6" t="s">
        <v>92</v>
      </c>
      <c r="AB37" s="6" t="s">
        <v>94</v>
      </c>
      <c r="AC37" s="6" t="s">
        <v>89</v>
      </c>
      <c r="AD37" s="6" t="s">
        <v>96</v>
      </c>
      <c r="AE37" s="6" t="s">
        <v>88</v>
      </c>
      <c r="AF37" s="6" t="s">
        <v>90</v>
      </c>
      <c r="AI37" s="6" t="s">
        <v>87</v>
      </c>
      <c r="AP37" s="23"/>
    </row>
    <row r="38" spans="1:42" ht="19.5" customHeight="1" x14ac:dyDescent="0.35">
      <c r="F38" s="2"/>
      <c r="K38" s="6" t="s">
        <v>193</v>
      </c>
      <c r="L38" s="6">
        <v>1.00670440632908</v>
      </c>
      <c r="AA38" s="6" t="s">
        <v>93</v>
      </c>
      <c r="AB38" s="6" t="s">
        <v>99</v>
      </c>
      <c r="AF38" s="6" t="s">
        <v>91</v>
      </c>
      <c r="AP38" s="23"/>
    </row>
    <row r="39" spans="1:42" ht="19.5" customHeight="1" x14ac:dyDescent="0.35">
      <c r="F39" s="2"/>
      <c r="K39" s="6" t="s">
        <v>194</v>
      </c>
      <c r="L39" s="6">
        <v>4.2098906369769902E-3</v>
      </c>
      <c r="AA39" s="25">
        <v>2.5243578387953901E-2</v>
      </c>
      <c r="AB39" s="25">
        <v>6.32671137542705E-4</v>
      </c>
      <c r="AF39" s="6" t="s">
        <v>101</v>
      </c>
      <c r="AP39" s="23"/>
    </row>
    <row r="40" spans="1:42" ht="19.5" customHeight="1" x14ac:dyDescent="0.35">
      <c r="K40" s="6" t="s">
        <v>195</v>
      </c>
      <c r="L40" s="6">
        <v>1.03093659171436</v>
      </c>
      <c r="AA40" s="25">
        <v>7.5730735163861806E-2</v>
      </c>
      <c r="AB40" s="25">
        <v>1.2400354295837E-2</v>
      </c>
      <c r="AF40" s="25">
        <v>2.40415032266227E-3</v>
      </c>
    </row>
    <row r="41" spans="1:42" ht="19.5" customHeight="1" x14ac:dyDescent="0.35">
      <c r="A41" s="1"/>
      <c r="B41" s="1"/>
      <c r="C41" s="4"/>
      <c r="D41" s="4"/>
      <c r="K41" s="6" t="s">
        <v>196</v>
      </c>
      <c r="L41" s="6">
        <v>3.0698133930844199E-2</v>
      </c>
      <c r="AF41" s="25">
        <v>2.1510818676451899E-2</v>
      </c>
    </row>
    <row r="42" spans="1:42" ht="19.5" customHeight="1" x14ac:dyDescent="0.35">
      <c r="C42" s="7"/>
      <c r="D42" s="7"/>
      <c r="AF42" s="25">
        <v>2.27761609515373E-3</v>
      </c>
    </row>
    <row r="49" spans="22:22" ht="19.5" customHeight="1" x14ac:dyDescent="0.35">
      <c r="V49" s="23"/>
    </row>
  </sheetData>
  <pageMargins left="0.7" right="0.7" top="0.75" bottom="0.75" header="0.3" footer="0.3"/>
  <ignoredErrors>
    <ignoredError sqref="P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5596-EB62-47BD-8133-9E023B644437}">
  <dimension ref="A1:G12"/>
  <sheetViews>
    <sheetView workbookViewId="0">
      <selection activeCell="G3" sqref="G3:G8"/>
    </sheetView>
  </sheetViews>
  <sheetFormatPr defaultRowHeight="14.5" x14ac:dyDescent="0.35"/>
  <cols>
    <col min="3" max="3" width="33.08984375" customWidth="1"/>
  </cols>
  <sheetData>
    <row r="1" spans="1:7" x14ac:dyDescent="0.35">
      <c r="A1" t="s">
        <v>143</v>
      </c>
    </row>
    <row r="2" spans="1:7" x14ac:dyDescent="0.35">
      <c r="E2" t="s">
        <v>2</v>
      </c>
      <c r="G2" t="s">
        <v>1</v>
      </c>
    </row>
    <row r="3" spans="1:7" x14ac:dyDescent="0.35">
      <c r="E3">
        <f>Sheet1!W26</f>
        <v>0</v>
      </c>
      <c r="F3" t="s">
        <v>31</v>
      </c>
      <c r="G3">
        <f>Sheet1!V26</f>
        <v>0</v>
      </c>
    </row>
    <row r="4" spans="1:7" x14ac:dyDescent="0.35">
      <c r="E4">
        <f>Sheet1!W27</f>
        <v>0.11322078596281052</v>
      </c>
      <c r="F4" t="s">
        <v>52</v>
      </c>
      <c r="G4">
        <f>Sheet1!V27</f>
        <v>0</v>
      </c>
    </row>
    <row r="5" spans="1:7" x14ac:dyDescent="0.35">
      <c r="E5">
        <f>Sheet1!W28</f>
        <v>0.11815832464281402</v>
      </c>
      <c r="F5" t="s">
        <v>53</v>
      </c>
      <c r="G5">
        <f>Sheet1!V28</f>
        <v>0</v>
      </c>
    </row>
    <row r="6" spans="1:7" x14ac:dyDescent="0.35">
      <c r="E6">
        <f>Sheet1!W29</f>
        <v>0.12399728875620501</v>
      </c>
      <c r="F6" t="s">
        <v>57</v>
      </c>
      <c r="G6">
        <f>Sheet1!V29</f>
        <v>0.1202397951575321</v>
      </c>
    </row>
    <row r="7" spans="1:7" x14ac:dyDescent="0.35">
      <c r="E7">
        <f>Sheet1!W30</f>
        <v>0.12951666150548224</v>
      </c>
      <c r="F7" t="s">
        <v>58</v>
      </c>
      <c r="G7">
        <f>Sheet1!V30</f>
        <v>0.22161121565868233</v>
      </c>
    </row>
    <row r="8" spans="1:7" x14ac:dyDescent="0.35">
      <c r="E8">
        <f>Sheet1!W31</f>
        <v>0.21140751106673822</v>
      </c>
      <c r="F8" t="s">
        <v>59</v>
      </c>
      <c r="G8">
        <f>Sheet1!V31</f>
        <v>0.26822682201698084</v>
      </c>
    </row>
    <row r="12" spans="1:7" x14ac:dyDescent="0.35">
      <c r="B12" t="s">
        <v>63</v>
      </c>
      <c r="C12" t="s">
        <v>78</v>
      </c>
      <c r="D12" s="10">
        <v>0.71316000000000002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F898-C688-45B4-BCB7-4CD8C8F79DF5}">
  <dimension ref="A1:AG47"/>
  <sheetViews>
    <sheetView topLeftCell="C1" workbookViewId="0">
      <selection activeCell="H14" sqref="H14"/>
    </sheetView>
  </sheetViews>
  <sheetFormatPr defaultRowHeight="14.5" x14ac:dyDescent="0.35"/>
  <cols>
    <col min="3" max="3" width="77.81640625" customWidth="1"/>
    <col min="4" max="4" width="12.54296875" bestFit="1" customWidth="1"/>
  </cols>
  <sheetData>
    <row r="1" spans="1:33" x14ac:dyDescent="0.35">
      <c r="A1" t="s">
        <v>143</v>
      </c>
    </row>
    <row r="3" spans="1:33" x14ac:dyDescent="0.35">
      <c r="D3">
        <f>Sheet1!X26</f>
        <v>0.3078425730549248</v>
      </c>
      <c r="E3" t="s">
        <v>31</v>
      </c>
    </row>
    <row r="4" spans="1:33" x14ac:dyDescent="0.35">
      <c r="D4">
        <f>Sheet1!X27</f>
        <v>0.31819160244675199</v>
      </c>
      <c r="E4" t="s">
        <v>52</v>
      </c>
    </row>
    <row r="5" spans="1:33" x14ac:dyDescent="0.35">
      <c r="D5">
        <f>Sheet1!X28</f>
        <v>0.19844372854391379</v>
      </c>
      <c r="E5" t="s">
        <v>53</v>
      </c>
    </row>
    <row r="6" spans="1:33" x14ac:dyDescent="0.35">
      <c r="D6">
        <f>Sheet1!X29</f>
        <v>0.19377931273155846</v>
      </c>
      <c r="E6" t="s">
        <v>57</v>
      </c>
    </row>
    <row r="7" spans="1:33" x14ac:dyDescent="0.35">
      <c r="D7">
        <f>Sheet1!X30</f>
        <v>0.1531663204269989</v>
      </c>
      <c r="E7" t="s">
        <v>58</v>
      </c>
      <c r="F7" s="9"/>
    </row>
    <row r="8" spans="1:33" x14ac:dyDescent="0.35">
      <c r="D8">
        <f>Sheet1!X31</f>
        <v>0.12143179422533153</v>
      </c>
      <c r="E8" t="s">
        <v>59</v>
      </c>
      <c r="I8" t="s">
        <v>68</v>
      </c>
    </row>
    <row r="9" spans="1:33" x14ac:dyDescent="0.35">
      <c r="I9">
        <f>H11+H12</f>
        <v>0.12480104313037493</v>
      </c>
    </row>
    <row r="10" spans="1:33" x14ac:dyDescent="0.35">
      <c r="D10" t="s">
        <v>46</v>
      </c>
      <c r="E10" s="11"/>
      <c r="F10" s="12" t="s">
        <v>48</v>
      </c>
      <c r="G10" s="12"/>
      <c r="H10" s="13" t="s">
        <v>47</v>
      </c>
      <c r="J10" s="11"/>
      <c r="K10" s="12" t="s">
        <v>50</v>
      </c>
      <c r="L10" s="12"/>
      <c r="M10" s="13" t="s">
        <v>51</v>
      </c>
      <c r="O10" s="11"/>
      <c r="P10" s="12" t="s">
        <v>54</v>
      </c>
      <c r="Q10" s="12"/>
      <c r="R10" s="13" t="s">
        <v>55</v>
      </c>
      <c r="T10" s="11"/>
      <c r="U10" s="12" t="s">
        <v>60</v>
      </c>
      <c r="V10" s="12"/>
      <c r="W10" s="13" t="s">
        <v>55</v>
      </c>
      <c r="Y10" s="11"/>
      <c r="Z10" s="12" t="s">
        <v>61</v>
      </c>
      <c r="AA10" s="12"/>
      <c r="AB10" s="13" t="s">
        <v>55</v>
      </c>
      <c r="AD10" s="11"/>
      <c r="AE10" s="12" t="s">
        <v>62</v>
      </c>
      <c r="AF10" s="12"/>
      <c r="AG10" s="13" t="s">
        <v>55</v>
      </c>
    </row>
    <row r="11" spans="1:33" x14ac:dyDescent="0.35">
      <c r="B11" s="9" t="s">
        <v>33</v>
      </c>
      <c r="C11" s="9" t="s">
        <v>34</v>
      </c>
      <c r="D11" s="10">
        <v>1.4308E-2</v>
      </c>
      <c r="E11" s="14"/>
      <c r="F11">
        <f>G17*$G$25/100</f>
        <v>22.472263058037115</v>
      </c>
      <c r="G11">
        <v>22</v>
      </c>
      <c r="H11" s="15">
        <f>F11*$D$3/100</f>
        <v>6.9179192821532787E-2</v>
      </c>
      <c r="I11">
        <f>H11*100/I9</f>
        <v>55.431582209824882</v>
      </c>
      <c r="J11" s="16"/>
      <c r="K11">
        <f>L17*$G$25/100</f>
        <v>27.715791104912441</v>
      </c>
      <c r="L11">
        <v>22</v>
      </c>
      <c r="M11" s="15">
        <f>K11*$D$4/100</f>
        <v>8.8189319847515241E-2</v>
      </c>
      <c r="O11" s="16"/>
      <c r="P11">
        <f>Q17*$G$25/100</f>
        <v>19.682228465807388</v>
      </c>
      <c r="Q11">
        <v>22</v>
      </c>
      <c r="R11" s="15">
        <f>P11*$D$5/100</f>
        <v>3.9058148028079741E-2</v>
      </c>
      <c r="T11" s="16"/>
      <c r="U11">
        <f>V17*$G$25/100</f>
        <v>19.317066527666249</v>
      </c>
      <c r="V11">
        <v>22</v>
      </c>
      <c r="W11" s="15">
        <f>U11*$D$6/100</f>
        <v>3.7432478757209585E-2</v>
      </c>
      <c r="Y11" s="16"/>
      <c r="Z11">
        <f>AA17*$G$25/100</f>
        <v>22.918827259831442</v>
      </c>
      <c r="AA11">
        <v>22</v>
      </c>
      <c r="AB11" s="15">
        <f>Z11*$D$7/100</f>
        <v>3.5103924398903801E-2</v>
      </c>
      <c r="AD11" s="16"/>
      <c r="AE11">
        <f>AF17*$G$25/100</f>
        <v>23.096492587427033</v>
      </c>
      <c r="AF11">
        <v>22</v>
      </c>
      <c r="AG11" s="15">
        <f>AE11*$D$8/100</f>
        <v>2.8046485352033343E-2</v>
      </c>
    </row>
    <row r="12" spans="1:33" x14ac:dyDescent="0.35">
      <c r="B12" s="9" t="s">
        <v>33</v>
      </c>
      <c r="C12" s="9" t="s">
        <v>35</v>
      </c>
      <c r="D12" s="10">
        <v>1.1504E-2</v>
      </c>
      <c r="E12" s="14"/>
      <c r="F12">
        <f>G17*$G$26/100</f>
        <v>18.068277482503426</v>
      </c>
      <c r="G12">
        <v>18</v>
      </c>
      <c r="H12" s="15">
        <f>F12*$D$3/100</f>
        <v>5.562185030884214E-2</v>
      </c>
      <c r="I12">
        <f>H12*100/I9</f>
        <v>44.568417790175111</v>
      </c>
      <c r="J12" s="16"/>
      <c r="K12">
        <f>L17*$G$26/100</f>
        <v>22.284208895087556</v>
      </c>
      <c r="L12">
        <v>18</v>
      </c>
      <c r="M12" s="15">
        <f>K12*$D$4/100</f>
        <v>7.0906481375860739E-2</v>
      </c>
      <c r="O12" s="16"/>
      <c r="P12">
        <f>Q17*$G$26/100</f>
        <v>15.825017911004206</v>
      </c>
      <c r="Q12">
        <v>18</v>
      </c>
      <c r="R12" s="15">
        <f>P12*$D$5/100</f>
        <v>3.1403755585338922E-2</v>
      </c>
      <c r="T12" s="16"/>
      <c r="U12">
        <f>V17*$G$26/100</f>
        <v>15.531418320818601</v>
      </c>
      <c r="V12">
        <v>18</v>
      </c>
      <c r="W12" s="15">
        <f>U12*$D$6/100</f>
        <v>3.0096675679545642E-2</v>
      </c>
      <c r="Y12" s="16"/>
      <c r="Z12">
        <f>AA17*$G$26/100</f>
        <v>18.427326586322401</v>
      </c>
      <c r="AA12">
        <v>18</v>
      </c>
      <c r="AB12" s="15">
        <f>Z12*$D$7/100</f>
        <v>2.8224458085336124E-2</v>
      </c>
      <c r="AD12" s="16"/>
      <c r="AE12">
        <f>AF17*$G$26/100</f>
        <v>18.570174079239628</v>
      </c>
      <c r="AF12">
        <v>18</v>
      </c>
      <c r="AG12" s="15">
        <f>AE12*$D$8/100</f>
        <v>2.2550095575188119E-2</v>
      </c>
    </row>
    <row r="13" spans="1:33" x14ac:dyDescent="0.35">
      <c r="B13" s="9" t="s">
        <v>33</v>
      </c>
      <c r="C13" s="9" t="s">
        <v>36</v>
      </c>
      <c r="D13" s="10">
        <v>8.9283000000000001E-3</v>
      </c>
      <c r="E13" s="14"/>
      <c r="F13">
        <f>$G$18</f>
        <v>59.45945945945946</v>
      </c>
      <c r="G13">
        <v>60</v>
      </c>
      <c r="H13" s="15">
        <f>F13*$D$3/100</f>
        <v>0.18304152992454989</v>
      </c>
      <c r="J13" s="16"/>
      <c r="K13">
        <f>L18</f>
        <v>50</v>
      </c>
      <c r="L13">
        <v>60</v>
      </c>
      <c r="M13" s="15">
        <f>K13*$D$4/100</f>
        <v>0.15909580122337599</v>
      </c>
      <c r="O13" s="16"/>
      <c r="P13">
        <f>Q18</f>
        <v>64.492753623188406</v>
      </c>
      <c r="Q13">
        <v>60</v>
      </c>
      <c r="R13" s="15">
        <f>P13*$D$5/100</f>
        <v>0.12798182493049512</v>
      </c>
      <c r="T13" s="16"/>
      <c r="U13">
        <f>V18</f>
        <v>65.151515151515156</v>
      </c>
      <c r="V13">
        <v>60</v>
      </c>
      <c r="W13" s="15">
        <f>U13*$D$6/100</f>
        <v>0.12625015829480327</v>
      </c>
      <c r="Y13" s="16"/>
      <c r="Z13">
        <f>AA18</f>
        <v>58.653846153846153</v>
      </c>
      <c r="AA13">
        <v>60</v>
      </c>
      <c r="AB13" s="15">
        <f>Z13*$D$7/100</f>
        <v>8.9837937942758975E-2</v>
      </c>
      <c r="AD13" s="16"/>
      <c r="AE13">
        <f>AF18</f>
        <v>58.333333333333336</v>
      </c>
      <c r="AF13">
        <v>60</v>
      </c>
      <c r="AG13" s="15">
        <f>AE13*$D$8/100</f>
        <v>7.0835213298110059E-2</v>
      </c>
    </row>
    <row r="14" spans="1:33" x14ac:dyDescent="0.35">
      <c r="B14" s="8" t="s">
        <v>0</v>
      </c>
      <c r="D14" s="10">
        <f>SUM(D11:D13)</f>
        <v>3.4740300000000002E-2</v>
      </c>
      <c r="E14" s="16"/>
      <c r="H14" s="17">
        <f>SUM(H11:H13)</f>
        <v>0.3078425730549248</v>
      </c>
      <c r="J14" s="16"/>
      <c r="M14" s="17">
        <f>SUM(M11:M13)</f>
        <v>0.31819160244675193</v>
      </c>
      <c r="O14" s="16"/>
      <c r="R14" s="17">
        <f>SUM(R11:R13)</f>
        <v>0.19844372854391379</v>
      </c>
      <c r="T14" s="16"/>
      <c r="W14" s="17">
        <f>SUM(W11:W13)</f>
        <v>0.19377931273155849</v>
      </c>
      <c r="Y14" s="16"/>
      <c r="AB14" s="17">
        <f>SUM(AB11:AB13)</f>
        <v>0.1531663204269989</v>
      </c>
      <c r="AD14" s="16"/>
      <c r="AG14" s="17">
        <f>SUM(AG11:AG13)</f>
        <v>0.12143179422533151</v>
      </c>
    </row>
    <row r="15" spans="1:33" x14ac:dyDescent="0.35">
      <c r="E15" s="16"/>
      <c r="F15" t="s">
        <v>45</v>
      </c>
      <c r="G15" t="s">
        <v>45</v>
      </c>
      <c r="H15" s="17"/>
      <c r="J15" s="16"/>
      <c r="K15" t="s">
        <v>45</v>
      </c>
      <c r="L15" t="s">
        <v>45</v>
      </c>
      <c r="M15" s="17"/>
      <c r="O15" s="16"/>
      <c r="P15" t="s">
        <v>45</v>
      </c>
      <c r="Q15" t="s">
        <v>45</v>
      </c>
      <c r="R15" s="17"/>
      <c r="T15" s="16"/>
      <c r="U15" t="s">
        <v>45</v>
      </c>
      <c r="V15" t="s">
        <v>45</v>
      </c>
      <c r="W15" s="17"/>
      <c r="Y15" s="16"/>
      <c r="Z15" t="s">
        <v>45</v>
      </c>
      <c r="AA15" t="s">
        <v>45</v>
      </c>
      <c r="AB15" s="17"/>
      <c r="AD15" s="16"/>
      <c r="AE15" t="s">
        <v>45</v>
      </c>
      <c r="AF15" t="s">
        <v>45</v>
      </c>
      <c r="AG15" s="17"/>
    </row>
    <row r="16" spans="1:33" x14ac:dyDescent="0.35">
      <c r="E16" s="16"/>
      <c r="H16" s="17"/>
      <c r="J16" s="16"/>
      <c r="M16" s="17"/>
      <c r="O16" s="16"/>
      <c r="R16" s="17"/>
      <c r="T16" s="16"/>
      <c r="W16" s="17"/>
      <c r="Y16" s="16"/>
      <c r="AB16" s="17"/>
      <c r="AD16" s="16"/>
      <c r="AG16" s="17"/>
    </row>
    <row r="17" spans="2:33" x14ac:dyDescent="0.35">
      <c r="E17" s="16" t="s">
        <v>37</v>
      </c>
      <c r="F17">
        <v>90</v>
      </c>
      <c r="G17">
        <f>F17*100/222</f>
        <v>40.54054054054054</v>
      </c>
      <c r="H17" s="17"/>
      <c r="J17" s="16" t="s">
        <v>37</v>
      </c>
      <c r="K17">
        <v>114</v>
      </c>
      <c r="L17">
        <f>K17*100/228</f>
        <v>50</v>
      </c>
      <c r="M17" s="17"/>
      <c r="O17" s="16" t="s">
        <v>37</v>
      </c>
      <c r="P17">
        <v>49</v>
      </c>
      <c r="Q17">
        <f>P17*100/138</f>
        <v>35.507246376811594</v>
      </c>
      <c r="R17" s="17"/>
      <c r="T17" s="16" t="s">
        <v>37</v>
      </c>
      <c r="U17">
        <v>46</v>
      </c>
      <c r="V17">
        <f>U17*100/132</f>
        <v>34.848484848484851</v>
      </c>
      <c r="W17" s="17"/>
      <c r="Y17" s="16" t="s">
        <v>37</v>
      </c>
      <c r="Z17">
        <v>43</v>
      </c>
      <c r="AA17">
        <f>Z17*100/104</f>
        <v>41.346153846153847</v>
      </c>
      <c r="AB17" s="17"/>
      <c r="AD17" s="16" t="s">
        <v>37</v>
      </c>
      <c r="AE17">
        <v>35</v>
      </c>
      <c r="AF17">
        <f>AE17*100/84</f>
        <v>41.666666666666664</v>
      </c>
      <c r="AG17" s="17"/>
    </row>
    <row r="18" spans="2:33" x14ac:dyDescent="0.35">
      <c r="B18" s="8" t="s">
        <v>0</v>
      </c>
      <c r="E18" s="16" t="s">
        <v>38</v>
      </c>
      <c r="F18">
        <v>132</v>
      </c>
      <c r="G18">
        <f>F18*100/222</f>
        <v>59.45945945945946</v>
      </c>
      <c r="H18" s="17"/>
      <c r="J18" s="16" t="s">
        <v>38</v>
      </c>
      <c r="K18">
        <v>114</v>
      </c>
      <c r="L18">
        <f>K18*100/228</f>
        <v>50</v>
      </c>
      <c r="M18" s="17"/>
      <c r="O18" s="16" t="s">
        <v>38</v>
      </c>
      <c r="P18">
        <v>89</v>
      </c>
      <c r="Q18">
        <f>P18*100/138</f>
        <v>64.492753623188406</v>
      </c>
      <c r="R18" s="17"/>
      <c r="T18" s="16" t="s">
        <v>38</v>
      </c>
      <c r="U18">
        <v>86</v>
      </c>
      <c r="V18">
        <f>U18*100/132</f>
        <v>65.151515151515156</v>
      </c>
      <c r="W18" s="17"/>
      <c r="Y18" s="16" t="s">
        <v>38</v>
      </c>
      <c r="Z18">
        <v>61</v>
      </c>
      <c r="AA18">
        <f>Z18*100/104</f>
        <v>58.653846153846153</v>
      </c>
      <c r="AB18" s="17"/>
      <c r="AD18" s="16" t="s">
        <v>38</v>
      </c>
      <c r="AE18">
        <v>49</v>
      </c>
      <c r="AF18">
        <f>AE18*100/84</f>
        <v>58.333333333333336</v>
      </c>
      <c r="AG18" s="17"/>
    </row>
    <row r="19" spans="2:33" x14ac:dyDescent="0.35">
      <c r="E19" s="16" t="s">
        <v>39</v>
      </c>
      <c r="F19">
        <f>F17+F18</f>
        <v>222</v>
      </c>
      <c r="H19" s="17"/>
      <c r="J19" s="16" t="s">
        <v>39</v>
      </c>
      <c r="K19">
        <f>K17+K18</f>
        <v>228</v>
      </c>
      <c r="M19" s="17"/>
      <c r="O19" s="16" t="s">
        <v>39</v>
      </c>
      <c r="P19">
        <f>P17+P18</f>
        <v>138</v>
      </c>
      <c r="R19" s="17"/>
      <c r="T19" s="16" t="s">
        <v>39</v>
      </c>
      <c r="U19">
        <f>U17+U18</f>
        <v>132</v>
      </c>
      <c r="W19" s="17"/>
      <c r="Y19" s="16" t="s">
        <v>39</v>
      </c>
      <c r="Z19">
        <f>Z17+Z18</f>
        <v>104</v>
      </c>
      <c r="AB19" s="17"/>
      <c r="AD19" s="16" t="s">
        <v>39</v>
      </c>
      <c r="AE19">
        <f>AE17+AE18</f>
        <v>84</v>
      </c>
      <c r="AG19" s="17"/>
    </row>
    <row r="20" spans="2:33" x14ac:dyDescent="0.35">
      <c r="E20" s="16"/>
      <c r="H20" s="17"/>
      <c r="J20" s="16"/>
      <c r="M20" s="17"/>
      <c r="O20" s="16"/>
      <c r="R20" s="17"/>
      <c r="T20" s="16"/>
      <c r="W20" s="17"/>
      <c r="Y20" s="16"/>
      <c r="AB20" s="17"/>
      <c r="AD20" s="16"/>
      <c r="AG20" s="17"/>
    </row>
    <row r="21" spans="2:33" x14ac:dyDescent="0.35">
      <c r="E21" s="16" t="s">
        <v>40</v>
      </c>
      <c r="F21">
        <f>Sheet1!N4</f>
        <v>208</v>
      </c>
      <c r="H21" s="17"/>
      <c r="J21" s="16" t="s">
        <v>49</v>
      </c>
      <c r="K21">
        <f>Sheet1!N5</f>
        <v>214</v>
      </c>
      <c r="M21" s="17"/>
      <c r="O21" s="16" t="s">
        <v>56</v>
      </c>
      <c r="P21">
        <f>Sheet1!N6</f>
        <v>125</v>
      </c>
      <c r="R21" s="17"/>
      <c r="T21" s="16" t="s">
        <v>56</v>
      </c>
      <c r="U21">
        <f>Sheet1!N7</f>
        <v>118</v>
      </c>
      <c r="W21" s="17"/>
      <c r="Y21" s="16" t="s">
        <v>56</v>
      </c>
      <c r="Z21">
        <f>Sheet1!N8</f>
        <v>90</v>
      </c>
      <c r="AB21" s="17"/>
      <c r="AD21" s="16" t="s">
        <v>56</v>
      </c>
      <c r="AE21">
        <f>Sheet1!N9</f>
        <v>70</v>
      </c>
      <c r="AG21" s="17"/>
    </row>
    <row r="22" spans="2:33" x14ac:dyDescent="0.35">
      <c r="D22" t="s">
        <v>71</v>
      </c>
      <c r="E22" s="16" t="s">
        <v>41</v>
      </c>
      <c r="F22">
        <v>14.6</v>
      </c>
      <c r="G22" t="s">
        <v>42</v>
      </c>
      <c r="H22" s="17"/>
      <c r="J22" s="16" t="s">
        <v>41</v>
      </c>
      <c r="K22">
        <v>14.6</v>
      </c>
      <c r="L22" t="s">
        <v>42</v>
      </c>
      <c r="M22" s="17"/>
      <c r="O22" s="16" t="s">
        <v>41</v>
      </c>
      <c r="P22">
        <v>14.6</v>
      </c>
      <c r="Q22" t="s">
        <v>42</v>
      </c>
      <c r="R22" s="17"/>
      <c r="T22" s="16" t="s">
        <v>41</v>
      </c>
      <c r="U22">
        <v>14.6</v>
      </c>
      <c r="V22" t="s">
        <v>42</v>
      </c>
      <c r="W22" s="17"/>
      <c r="Y22" s="16" t="s">
        <v>41</v>
      </c>
      <c r="Z22">
        <v>14.6</v>
      </c>
      <c r="AA22" t="s">
        <v>42</v>
      </c>
      <c r="AB22" s="17"/>
      <c r="AD22" s="16" t="s">
        <v>41</v>
      </c>
      <c r="AE22">
        <v>14.6</v>
      </c>
      <c r="AF22" t="s">
        <v>42</v>
      </c>
      <c r="AG22" s="17"/>
    </row>
    <row r="23" spans="2:33" x14ac:dyDescent="0.35">
      <c r="E23" s="18" t="s">
        <v>39</v>
      </c>
      <c r="F23" s="19">
        <f>F21+F22</f>
        <v>222.6</v>
      </c>
      <c r="G23" s="19"/>
      <c r="H23" s="20"/>
      <c r="J23" s="18" t="s">
        <v>39</v>
      </c>
      <c r="K23" s="19">
        <f>K21+K22</f>
        <v>228.6</v>
      </c>
      <c r="L23" s="19"/>
      <c r="M23" s="20"/>
      <c r="O23" s="18" t="s">
        <v>39</v>
      </c>
      <c r="P23" s="19">
        <f>P21+P22</f>
        <v>139.6</v>
      </c>
      <c r="Q23" s="19"/>
      <c r="R23" s="20"/>
      <c r="T23" s="18" t="s">
        <v>39</v>
      </c>
      <c r="U23" s="19">
        <f>U21+U22</f>
        <v>132.6</v>
      </c>
      <c r="V23" s="19"/>
      <c r="W23" s="20"/>
      <c r="Y23" s="18" t="s">
        <v>39</v>
      </c>
      <c r="Z23" s="19">
        <f>Z21+Z22</f>
        <v>104.6</v>
      </c>
      <c r="AA23" s="19"/>
      <c r="AB23" s="20"/>
      <c r="AD23" s="18" t="s">
        <v>39</v>
      </c>
      <c r="AE23" s="19">
        <f>AE21+AE22</f>
        <v>84.6</v>
      </c>
      <c r="AF23" s="19"/>
      <c r="AG23" s="20"/>
    </row>
    <row r="25" spans="2:33" x14ac:dyDescent="0.35">
      <c r="E25" t="s">
        <v>43</v>
      </c>
      <c r="F25" s="10">
        <v>1.4308E-2</v>
      </c>
      <c r="G25">
        <f>F25*100/F27</f>
        <v>55.431582209824882</v>
      </c>
      <c r="L25" s="10"/>
    </row>
    <row r="26" spans="2:33" x14ac:dyDescent="0.35">
      <c r="E26" t="s">
        <v>44</v>
      </c>
      <c r="F26" s="10">
        <v>1.1504E-2</v>
      </c>
      <c r="G26">
        <f>F26*100/F27</f>
        <v>44.568417790175111</v>
      </c>
    </row>
    <row r="27" spans="2:33" x14ac:dyDescent="0.35">
      <c r="E27" t="s">
        <v>39</v>
      </c>
      <c r="F27" s="10">
        <v>2.5812000000000002E-2</v>
      </c>
    </row>
    <row r="29" spans="2:33" x14ac:dyDescent="0.35">
      <c r="B29" t="s">
        <v>69</v>
      </c>
      <c r="I29">
        <f>H31+H32</f>
        <v>0.12480104313037493</v>
      </c>
    </row>
    <row r="30" spans="2:33" x14ac:dyDescent="0.35">
      <c r="D30" t="s">
        <v>46</v>
      </c>
      <c r="E30" s="11"/>
      <c r="F30" s="12" t="s">
        <v>48</v>
      </c>
      <c r="G30" s="12"/>
      <c r="H30" s="13" t="s">
        <v>47</v>
      </c>
      <c r="J30" s="11"/>
      <c r="K30" s="12" t="s">
        <v>50</v>
      </c>
      <c r="L30" s="12"/>
      <c r="M30" s="13" t="s">
        <v>51</v>
      </c>
      <c r="O30" s="11"/>
      <c r="P30" s="12" t="s">
        <v>54</v>
      </c>
      <c r="Q30" s="12"/>
      <c r="R30" s="13" t="s">
        <v>55</v>
      </c>
      <c r="T30" s="11"/>
      <c r="U30" s="12" t="s">
        <v>60</v>
      </c>
      <c r="V30" s="12"/>
      <c r="W30" s="13" t="s">
        <v>55</v>
      </c>
      <c r="Y30" s="11"/>
      <c r="Z30" s="12" t="s">
        <v>61</v>
      </c>
      <c r="AA30" s="12"/>
      <c r="AB30" s="13" t="s">
        <v>55</v>
      </c>
      <c r="AD30" s="11"/>
      <c r="AE30" s="12" t="s">
        <v>62</v>
      </c>
      <c r="AF30" s="12"/>
      <c r="AG30" s="13" t="s">
        <v>55</v>
      </c>
    </row>
    <row r="31" spans="2:33" x14ac:dyDescent="0.35">
      <c r="B31" s="9" t="s">
        <v>33</v>
      </c>
      <c r="C31" s="9" t="s">
        <v>34</v>
      </c>
      <c r="D31" s="10">
        <v>1.4308E-2</v>
      </c>
      <c r="E31" s="14"/>
      <c r="F31">
        <f>G37*$G$45/100</f>
        <v>33.648648648648653</v>
      </c>
      <c r="G31">
        <v>22</v>
      </c>
      <c r="H31" s="15">
        <f>F31*$D$3/100</f>
        <v>0.1035848657982112</v>
      </c>
      <c r="I31">
        <f>H31*100/I29</f>
        <v>83</v>
      </c>
      <c r="J31" s="16"/>
      <c r="K31">
        <f>L37*$G$45/100</f>
        <v>41.5</v>
      </c>
      <c r="L31">
        <v>22</v>
      </c>
      <c r="M31" s="15">
        <f>K31*$D$4/100</f>
        <v>0.13204951501540207</v>
      </c>
      <c r="O31" s="16"/>
      <c r="P31">
        <f>Q37*$G$45/100</f>
        <v>29.471014492753625</v>
      </c>
      <c r="Q31">
        <v>22</v>
      </c>
      <c r="R31" s="15">
        <f>P31*$D$5/100</f>
        <v>5.848337999913749E-2</v>
      </c>
      <c r="T31" s="16"/>
      <c r="U31">
        <f>V37*$G$45/100</f>
        <v>28.924242424242426</v>
      </c>
      <c r="V31">
        <v>22</v>
      </c>
      <c r="W31" s="15">
        <f>U31*$D$6/100</f>
        <v>5.6049198182506837E-2</v>
      </c>
      <c r="Y31" s="16"/>
      <c r="Z31">
        <f>AA37*$G$45/100</f>
        <v>34.317307692307693</v>
      </c>
      <c r="AA31">
        <v>22</v>
      </c>
      <c r="AB31" s="15">
        <f>Z31*$D$7/100</f>
        <v>5.2562557461919152E-2</v>
      </c>
      <c r="AD31" s="16"/>
      <c r="AE31">
        <f>AF37*$G$45/100</f>
        <v>34.583333333333329</v>
      </c>
      <c r="AF31">
        <v>22</v>
      </c>
      <c r="AG31" s="15">
        <f>AE31*$D$8/100</f>
        <v>4.1995162169593814E-2</v>
      </c>
    </row>
    <row r="32" spans="2:33" x14ac:dyDescent="0.35">
      <c r="B32" s="9" t="s">
        <v>33</v>
      </c>
      <c r="C32" s="9" t="s">
        <v>35</v>
      </c>
      <c r="D32" s="10">
        <v>1.1504E-2</v>
      </c>
      <c r="E32" s="14"/>
      <c r="F32">
        <f>G37*$G$46/100</f>
        <v>6.8918918918918912</v>
      </c>
      <c r="G32">
        <v>18</v>
      </c>
      <c r="H32" s="15">
        <f>F32*$D$3/100</f>
        <v>2.1216177332163733E-2</v>
      </c>
      <c r="I32">
        <f>H32*100/I29</f>
        <v>16.999999999999996</v>
      </c>
      <c r="J32" s="16"/>
      <c r="K32">
        <f>L37*$G$46/100</f>
        <v>8.5</v>
      </c>
      <c r="L32">
        <v>18</v>
      </c>
      <c r="M32" s="15">
        <f>K32*$D$4/100</f>
        <v>2.7046286207973919E-2</v>
      </c>
      <c r="O32" s="16"/>
      <c r="P32">
        <f>Q37*$G$46/100</f>
        <v>6.0362318840579716</v>
      </c>
      <c r="Q32">
        <v>18</v>
      </c>
      <c r="R32" s="15">
        <f>P32*$D$5/100</f>
        <v>1.1978523614281174E-2</v>
      </c>
      <c r="T32" s="16"/>
      <c r="U32">
        <f>V37*$G$46/100</f>
        <v>5.9242424242424248</v>
      </c>
      <c r="V32">
        <v>18</v>
      </c>
      <c r="W32" s="15">
        <f>U32*$D$6/100</f>
        <v>1.1479956254248389E-2</v>
      </c>
      <c r="Y32" s="16"/>
      <c r="Z32">
        <f>AA37*$G$46/100</f>
        <v>7.0288461538461533</v>
      </c>
      <c r="AA32">
        <v>18</v>
      </c>
      <c r="AB32" s="15">
        <f>Z32*$D$7/100</f>
        <v>1.0765825022320787E-2</v>
      </c>
      <c r="AD32" s="16"/>
      <c r="AE32">
        <f>AF37*$G$46/100</f>
        <v>7.0833333333333321</v>
      </c>
      <c r="AF32">
        <v>18</v>
      </c>
      <c r="AG32" s="15">
        <f>AE32*$D$8/100</f>
        <v>8.6014187576276477E-3</v>
      </c>
    </row>
    <row r="33" spans="2:33" x14ac:dyDescent="0.35">
      <c r="B33" s="9" t="s">
        <v>33</v>
      </c>
      <c r="C33" s="9" t="s">
        <v>36</v>
      </c>
      <c r="D33" s="10">
        <v>8.9283000000000001E-3</v>
      </c>
      <c r="E33" s="14"/>
      <c r="F33">
        <f>$G$18</f>
        <v>59.45945945945946</v>
      </c>
      <c r="G33">
        <v>60</v>
      </c>
      <c r="H33" s="15">
        <f>F33*$D$3/100</f>
        <v>0.18304152992454989</v>
      </c>
      <c r="J33" s="16"/>
      <c r="K33">
        <f>L38</f>
        <v>50</v>
      </c>
      <c r="L33">
        <v>60</v>
      </c>
      <c r="M33" s="15">
        <f>K33*$D$4/100</f>
        <v>0.15909580122337599</v>
      </c>
      <c r="O33" s="16"/>
      <c r="P33">
        <f>Q38</f>
        <v>64.492753623188406</v>
      </c>
      <c r="Q33">
        <v>60</v>
      </c>
      <c r="R33" s="15">
        <f>P33*$D$5/100</f>
        <v>0.12798182493049512</v>
      </c>
      <c r="T33" s="16"/>
      <c r="U33">
        <f>V38</f>
        <v>65.151515151515156</v>
      </c>
      <c r="V33">
        <v>60</v>
      </c>
      <c r="W33" s="15">
        <f>U33*$D$6/100</f>
        <v>0.12625015829480327</v>
      </c>
      <c r="Y33" s="16"/>
      <c r="Z33">
        <f>AA38</f>
        <v>58.653846153846153</v>
      </c>
      <c r="AA33">
        <v>60</v>
      </c>
      <c r="AB33" s="15">
        <f>Z33*$D$7/100</f>
        <v>8.9837937942758975E-2</v>
      </c>
      <c r="AD33" s="16"/>
      <c r="AE33">
        <f>AF38</f>
        <v>58.333333333333336</v>
      </c>
      <c r="AF33">
        <v>60</v>
      </c>
      <c r="AG33" s="15">
        <f>AE33*$D$8/100</f>
        <v>7.0835213298110059E-2</v>
      </c>
    </row>
    <row r="34" spans="2:33" x14ac:dyDescent="0.35">
      <c r="B34" s="8" t="s">
        <v>0</v>
      </c>
      <c r="D34" s="10">
        <f>SUM(D31:D33)</f>
        <v>3.4740300000000002E-2</v>
      </c>
      <c r="E34" s="16"/>
      <c r="H34" s="17">
        <f>SUM(H31:H33)</f>
        <v>0.3078425730549248</v>
      </c>
      <c r="J34" s="16"/>
      <c r="M34" s="17">
        <f>SUM(M31:M33)</f>
        <v>0.31819160244675199</v>
      </c>
      <c r="O34" s="16"/>
      <c r="R34" s="17">
        <f>SUM(R31:R33)</f>
        <v>0.19844372854391379</v>
      </c>
      <c r="T34" s="16"/>
      <c r="W34" s="17">
        <f>SUM(W31:W33)</f>
        <v>0.19377931273155849</v>
      </c>
      <c r="Y34" s="16"/>
      <c r="AB34" s="17">
        <f>SUM(AB31:AB33)</f>
        <v>0.1531663204269989</v>
      </c>
      <c r="AD34" s="16"/>
      <c r="AG34" s="17">
        <f>SUM(AG31:AG33)</f>
        <v>0.12143179422533151</v>
      </c>
    </row>
    <row r="35" spans="2:33" x14ac:dyDescent="0.35">
      <c r="E35" s="16"/>
      <c r="F35" t="s">
        <v>45</v>
      </c>
      <c r="G35" t="s">
        <v>45</v>
      </c>
      <c r="H35" s="17"/>
      <c r="J35" s="16"/>
      <c r="K35" t="s">
        <v>45</v>
      </c>
      <c r="L35" t="s">
        <v>45</v>
      </c>
      <c r="M35" s="17"/>
      <c r="O35" s="16"/>
      <c r="P35" t="s">
        <v>45</v>
      </c>
      <c r="Q35" t="s">
        <v>45</v>
      </c>
      <c r="R35" s="17"/>
      <c r="T35" s="16"/>
      <c r="U35" t="s">
        <v>45</v>
      </c>
      <c r="V35" t="s">
        <v>45</v>
      </c>
      <c r="W35" s="17"/>
      <c r="Y35" s="16"/>
      <c r="Z35" t="s">
        <v>45</v>
      </c>
      <c r="AA35" t="s">
        <v>45</v>
      </c>
      <c r="AB35" s="17"/>
      <c r="AD35" s="16"/>
      <c r="AE35" t="s">
        <v>45</v>
      </c>
      <c r="AF35" t="s">
        <v>45</v>
      </c>
      <c r="AG35" s="17"/>
    </row>
    <row r="36" spans="2:33" x14ac:dyDescent="0.35">
      <c r="E36" s="16"/>
      <c r="H36" s="17"/>
      <c r="J36" s="16"/>
      <c r="M36" s="17"/>
      <c r="O36" s="16"/>
      <c r="R36" s="17"/>
      <c r="T36" s="16"/>
      <c r="W36" s="17"/>
      <c r="Y36" s="16"/>
      <c r="AB36" s="17"/>
      <c r="AD36" s="16"/>
      <c r="AG36" s="17"/>
    </row>
    <row r="37" spans="2:33" x14ac:dyDescent="0.35">
      <c r="E37" s="16" t="s">
        <v>37</v>
      </c>
      <c r="F37">
        <v>90</v>
      </c>
      <c r="G37">
        <f>F37*100/222</f>
        <v>40.54054054054054</v>
      </c>
      <c r="H37" s="17"/>
      <c r="J37" s="16" t="s">
        <v>37</v>
      </c>
      <c r="K37">
        <v>114</v>
      </c>
      <c r="L37">
        <f>K37*100/228</f>
        <v>50</v>
      </c>
      <c r="M37" s="17"/>
      <c r="O37" s="16" t="s">
        <v>37</v>
      </c>
      <c r="P37">
        <v>49</v>
      </c>
      <c r="Q37">
        <f>P37*100/138</f>
        <v>35.507246376811594</v>
      </c>
      <c r="R37" s="17"/>
      <c r="T37" s="16" t="s">
        <v>37</v>
      </c>
      <c r="U37">
        <v>46</v>
      </c>
      <c r="V37">
        <f>U37*100/132</f>
        <v>34.848484848484851</v>
      </c>
      <c r="W37" s="17"/>
      <c r="Y37" s="16" t="s">
        <v>37</v>
      </c>
      <c r="Z37">
        <v>43</v>
      </c>
      <c r="AA37">
        <f>Z37*100/104</f>
        <v>41.346153846153847</v>
      </c>
      <c r="AB37" s="17"/>
      <c r="AD37" s="16" t="s">
        <v>37</v>
      </c>
      <c r="AE37">
        <v>35</v>
      </c>
      <c r="AF37">
        <f>AE37*100/84</f>
        <v>41.666666666666664</v>
      </c>
      <c r="AG37" s="17"/>
    </row>
    <row r="38" spans="2:33" x14ac:dyDescent="0.35">
      <c r="B38" s="8" t="s">
        <v>0</v>
      </c>
      <c r="E38" s="16" t="s">
        <v>38</v>
      </c>
      <c r="F38">
        <v>132</v>
      </c>
      <c r="G38">
        <f>F38*100/222</f>
        <v>59.45945945945946</v>
      </c>
      <c r="H38" s="17"/>
      <c r="J38" s="16" t="s">
        <v>38</v>
      </c>
      <c r="K38">
        <v>114</v>
      </c>
      <c r="L38">
        <f>K38*100/228</f>
        <v>50</v>
      </c>
      <c r="M38" s="17"/>
      <c r="O38" s="16" t="s">
        <v>38</v>
      </c>
      <c r="P38">
        <v>89</v>
      </c>
      <c r="Q38">
        <f>P38*100/138</f>
        <v>64.492753623188406</v>
      </c>
      <c r="R38" s="17"/>
      <c r="T38" s="16" t="s">
        <v>38</v>
      </c>
      <c r="U38">
        <v>86</v>
      </c>
      <c r="V38">
        <f>U38*100/132</f>
        <v>65.151515151515156</v>
      </c>
      <c r="W38" s="17"/>
      <c r="Y38" s="16" t="s">
        <v>38</v>
      </c>
      <c r="Z38">
        <v>61</v>
      </c>
      <c r="AA38">
        <f>Z38*100/104</f>
        <v>58.653846153846153</v>
      </c>
      <c r="AB38" s="17"/>
      <c r="AD38" s="16" t="s">
        <v>38</v>
      </c>
      <c r="AE38">
        <v>49</v>
      </c>
      <c r="AF38">
        <f>AE38*100/84</f>
        <v>58.333333333333336</v>
      </c>
      <c r="AG38" s="17"/>
    </row>
    <row r="39" spans="2:33" x14ac:dyDescent="0.35">
      <c r="E39" s="16" t="s">
        <v>39</v>
      </c>
      <c r="F39">
        <f>F37+F38</f>
        <v>222</v>
      </c>
      <c r="H39" s="17"/>
      <c r="J39" s="16" t="s">
        <v>39</v>
      </c>
      <c r="K39">
        <f>K37+K38</f>
        <v>228</v>
      </c>
      <c r="M39" s="17"/>
      <c r="O39" s="16" t="s">
        <v>39</v>
      </c>
      <c r="P39">
        <f>P37+P38</f>
        <v>138</v>
      </c>
      <c r="R39" s="17"/>
      <c r="T39" s="16" t="s">
        <v>39</v>
      </c>
      <c r="U39">
        <f>U37+U38</f>
        <v>132</v>
      </c>
      <c r="W39" s="17"/>
      <c r="Y39" s="16" t="s">
        <v>39</v>
      </c>
      <c r="Z39">
        <f>Z37+Z38</f>
        <v>104</v>
      </c>
      <c r="AB39" s="17"/>
      <c r="AD39" s="16" t="s">
        <v>39</v>
      </c>
      <c r="AE39">
        <f>AE37+AE38</f>
        <v>84</v>
      </c>
      <c r="AG39" s="17"/>
    </row>
    <row r="40" spans="2:33" x14ac:dyDescent="0.35">
      <c r="E40" s="16"/>
      <c r="H40" s="17"/>
      <c r="J40" s="16"/>
      <c r="M40" s="17"/>
      <c r="O40" s="16"/>
      <c r="R40" s="17"/>
      <c r="T40" s="16"/>
      <c r="W40" s="17"/>
      <c r="Y40" s="16"/>
      <c r="AB40" s="17"/>
      <c r="AD40" s="16"/>
      <c r="AG40" s="17"/>
    </row>
    <row r="41" spans="2:33" x14ac:dyDescent="0.35">
      <c r="E41" s="16" t="s">
        <v>40</v>
      </c>
      <c r="F41">
        <f>Sheet1!N31</f>
        <v>0</v>
      </c>
      <c r="H41" s="17"/>
      <c r="J41" s="16" t="s">
        <v>49</v>
      </c>
      <c r="K41">
        <f>Sheet1!N33</f>
        <v>0.95900950044020505</v>
      </c>
      <c r="M41" s="17"/>
      <c r="O41" s="16" t="s">
        <v>56</v>
      </c>
      <c r="P41">
        <f>Sheet1!N34</f>
        <v>0</v>
      </c>
      <c r="R41" s="17"/>
      <c r="T41" s="16" t="s">
        <v>56</v>
      </c>
      <c r="U41">
        <f>Sheet1!N35</f>
        <v>0</v>
      </c>
      <c r="W41" s="17"/>
      <c r="Y41" s="16" t="s">
        <v>56</v>
      </c>
      <c r="Z41">
        <f>Sheet1!N36</f>
        <v>0</v>
      </c>
      <c r="AB41" s="17"/>
      <c r="AD41" s="16" t="s">
        <v>56</v>
      </c>
      <c r="AE41">
        <f>Sheet1!N37</f>
        <v>0</v>
      </c>
      <c r="AG41" s="17"/>
    </row>
    <row r="42" spans="2:33" x14ac:dyDescent="0.35">
      <c r="E42" s="16" t="s">
        <v>41</v>
      </c>
      <c r="F42">
        <v>14.6</v>
      </c>
      <c r="G42" t="s">
        <v>42</v>
      </c>
      <c r="H42" s="17"/>
      <c r="J42" s="16" t="s">
        <v>41</v>
      </c>
      <c r="K42">
        <v>14.6</v>
      </c>
      <c r="L42" t="s">
        <v>42</v>
      </c>
      <c r="M42" s="17"/>
      <c r="O42" s="16" t="s">
        <v>41</v>
      </c>
      <c r="P42">
        <v>14.6</v>
      </c>
      <c r="Q42" t="s">
        <v>42</v>
      </c>
      <c r="R42" s="17"/>
      <c r="T42" s="16" t="s">
        <v>41</v>
      </c>
      <c r="U42">
        <v>14.6</v>
      </c>
      <c r="V42" t="s">
        <v>42</v>
      </c>
      <c r="W42" s="17"/>
      <c r="Y42" s="16" t="s">
        <v>41</v>
      </c>
      <c r="Z42">
        <v>14.6</v>
      </c>
      <c r="AA42" t="s">
        <v>42</v>
      </c>
      <c r="AB42" s="17"/>
      <c r="AD42" s="16" t="s">
        <v>41</v>
      </c>
      <c r="AE42">
        <v>14.6</v>
      </c>
      <c r="AF42" t="s">
        <v>42</v>
      </c>
      <c r="AG42" s="17"/>
    </row>
    <row r="43" spans="2:33" x14ac:dyDescent="0.35">
      <c r="E43" s="18" t="s">
        <v>39</v>
      </c>
      <c r="F43" s="19">
        <f>F41+F42</f>
        <v>14.6</v>
      </c>
      <c r="G43" s="19"/>
      <c r="H43" s="20"/>
      <c r="J43" s="18" t="s">
        <v>39</v>
      </c>
      <c r="K43" s="19">
        <f>K41+K42</f>
        <v>15.559009500440204</v>
      </c>
      <c r="L43" s="19"/>
      <c r="M43" s="20"/>
      <c r="O43" s="18" t="s">
        <v>39</v>
      </c>
      <c r="P43" s="19">
        <f>P41+P42</f>
        <v>14.6</v>
      </c>
      <c r="Q43" s="19"/>
      <c r="R43" s="20"/>
      <c r="T43" s="18" t="s">
        <v>39</v>
      </c>
      <c r="U43" s="19">
        <f>U41+U42</f>
        <v>14.6</v>
      </c>
      <c r="V43" s="19"/>
      <c r="W43" s="20"/>
      <c r="Y43" s="18" t="s">
        <v>39</v>
      </c>
      <c r="Z43" s="19">
        <f>Z41+Z42</f>
        <v>14.6</v>
      </c>
      <c r="AA43" s="19"/>
      <c r="AB43" s="20"/>
      <c r="AD43" s="18" t="s">
        <v>39</v>
      </c>
      <c r="AE43" s="19">
        <f>AE41+AE42</f>
        <v>14.6</v>
      </c>
      <c r="AF43" s="19"/>
      <c r="AG43" s="20"/>
    </row>
    <row r="45" spans="2:33" x14ac:dyDescent="0.35">
      <c r="E45" t="s">
        <v>43</v>
      </c>
      <c r="F45" s="10">
        <v>1.4308E-2</v>
      </c>
      <c r="G45">
        <v>83</v>
      </c>
      <c r="L45" s="10"/>
    </row>
    <row r="46" spans="2:33" x14ac:dyDescent="0.35">
      <c r="E46" t="s">
        <v>44</v>
      </c>
      <c r="F46" s="10">
        <v>1.1504E-2</v>
      </c>
      <c r="G46">
        <v>17</v>
      </c>
    </row>
    <row r="47" spans="2:33" x14ac:dyDescent="0.35">
      <c r="E47" t="s">
        <v>39</v>
      </c>
      <c r="F47" s="10">
        <v>2.5812000000000002E-2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52AF-B3E5-4F96-A836-516AA4142A39}">
  <dimension ref="A1:F11"/>
  <sheetViews>
    <sheetView workbookViewId="0">
      <selection activeCell="E6" sqref="E6:E11"/>
    </sheetView>
  </sheetViews>
  <sheetFormatPr defaultRowHeight="14.5" x14ac:dyDescent="0.35"/>
  <cols>
    <col min="3" max="3" width="57.453125" customWidth="1"/>
  </cols>
  <sheetData>
    <row r="1" spans="1:6" x14ac:dyDescent="0.35">
      <c r="A1" t="s">
        <v>143</v>
      </c>
    </row>
    <row r="5" spans="1:6" x14ac:dyDescent="0.35">
      <c r="D5" t="s">
        <v>179</v>
      </c>
      <c r="F5" t="s">
        <v>180</v>
      </c>
    </row>
    <row r="6" spans="1:6" x14ac:dyDescent="0.35">
      <c r="B6" s="10" t="s">
        <v>63</v>
      </c>
      <c r="C6" s="10" t="s">
        <v>84</v>
      </c>
      <c r="D6" s="10">
        <v>1.6317E-3</v>
      </c>
      <c r="E6" t="s">
        <v>31</v>
      </c>
      <c r="F6">
        <f>Sheet1!AB26</f>
        <v>1.1854055858303588E-2</v>
      </c>
    </row>
    <row r="7" spans="1:6" x14ac:dyDescent="0.35">
      <c r="D7" t="s">
        <v>141</v>
      </c>
      <c r="E7" t="s">
        <v>52</v>
      </c>
      <c r="F7">
        <f>Sheet1!AB27</f>
        <v>1.2233337402817455E-2</v>
      </c>
    </row>
    <row r="8" spans="1:6" x14ac:dyDescent="0.35">
      <c r="E8" t="s">
        <v>53</v>
      </c>
      <c r="F8">
        <f>Sheet1!AB28</f>
        <v>1.2710774769479445E-2</v>
      </c>
    </row>
    <row r="9" spans="1:6" x14ac:dyDescent="0.35">
      <c r="E9" t="s">
        <v>57</v>
      </c>
      <c r="F9">
        <f>Sheet1!AB29</f>
        <v>1.3151227595355076E-2</v>
      </c>
    </row>
    <row r="10" spans="1:6" x14ac:dyDescent="0.35">
      <c r="E10" t="s">
        <v>58</v>
      </c>
      <c r="F10">
        <f>Sheet1!AB30</f>
        <v>1.3633332790050766E-2</v>
      </c>
    </row>
    <row r="11" spans="1:6" x14ac:dyDescent="0.35">
      <c r="E11" t="s">
        <v>59</v>
      </c>
      <c r="F11">
        <f>Sheet1!AB31</f>
        <v>1.3886016142453314E-2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6DFF-CB9F-4380-A1EA-82FE38A6E9E7}">
  <dimension ref="A1:L16"/>
  <sheetViews>
    <sheetView workbookViewId="0">
      <selection activeCell="G14" sqref="G14"/>
    </sheetView>
  </sheetViews>
  <sheetFormatPr defaultRowHeight="14.5" x14ac:dyDescent="0.35"/>
  <cols>
    <col min="3" max="3" width="46.90625" customWidth="1"/>
  </cols>
  <sheetData>
    <row r="1" spans="1:12" x14ac:dyDescent="0.35">
      <c r="A1" t="s">
        <v>143</v>
      </c>
    </row>
    <row r="3" spans="1:12" x14ac:dyDescent="0.35">
      <c r="D3">
        <f>Sheet1!AA26</f>
        <v>9.6525883417614922E-2</v>
      </c>
      <c r="E3" t="s">
        <v>31</v>
      </c>
    </row>
    <row r="4" spans="1:12" ht="15.5" x14ac:dyDescent="0.35">
      <c r="D4">
        <f>Sheet1!AA27</f>
        <v>9.9239828931019139E-2</v>
      </c>
      <c r="E4" t="s">
        <v>52</v>
      </c>
      <c r="J4" s="6"/>
    </row>
    <row r="5" spans="1:12" ht="15.5" x14ac:dyDescent="0.35">
      <c r="D5">
        <f>Sheet1!AA28</f>
        <v>0.1014267945891115</v>
      </c>
      <c r="E5" t="s">
        <v>53</v>
      </c>
      <c r="J5" s="6"/>
    </row>
    <row r="6" spans="1:12" ht="15.5" x14ac:dyDescent="0.35">
      <c r="D6">
        <f>Sheet1!AA29</f>
        <v>0.1045388397630776</v>
      </c>
      <c r="E6" t="s">
        <v>57</v>
      </c>
      <c r="J6" s="6"/>
    </row>
    <row r="7" spans="1:12" ht="15.5" x14ac:dyDescent="0.35">
      <c r="D7">
        <f>Sheet1!AA30</f>
        <v>0.10697992770968406</v>
      </c>
      <c r="E7" t="s">
        <v>58</v>
      </c>
      <c r="J7" s="6"/>
    </row>
    <row r="8" spans="1:12" ht="15.5" x14ac:dyDescent="0.35">
      <c r="D8">
        <f>Sheet1!AA31</f>
        <v>0.10655391978698869</v>
      </c>
      <c r="E8" t="s">
        <v>59</v>
      </c>
      <c r="J8" s="6"/>
    </row>
    <row r="9" spans="1:12" ht="15.5" x14ac:dyDescent="0.35">
      <c r="J9" s="6"/>
    </row>
    <row r="12" spans="1:12" x14ac:dyDescent="0.35">
      <c r="G12" t="s">
        <v>31</v>
      </c>
      <c r="H12" t="s">
        <v>52</v>
      </c>
      <c r="I12" t="s">
        <v>53</v>
      </c>
      <c r="J12" t="s">
        <v>57</v>
      </c>
      <c r="K12" t="s">
        <v>58</v>
      </c>
      <c r="L12" t="s">
        <v>59</v>
      </c>
    </row>
    <row r="13" spans="1:12" x14ac:dyDescent="0.35">
      <c r="B13" t="s">
        <v>63</v>
      </c>
      <c r="C13" t="s">
        <v>76</v>
      </c>
      <c r="D13">
        <v>1.6962000000000001E-2</v>
      </c>
      <c r="E13">
        <f>D13*100/D15</f>
        <v>15.999622694901667</v>
      </c>
      <c r="G13">
        <f>E13*D3/100</f>
        <v>1.5443777149739041E-2</v>
      </c>
      <c r="H13">
        <f>E13*D4/100</f>
        <v>1.5877998192028928E-2</v>
      </c>
      <c r="I13">
        <f>E13*D5/100</f>
        <v>1.6227904445790781E-2</v>
      </c>
      <c r="J13">
        <f>E13*D6/100</f>
        <v>1.6725819931720252E-2</v>
      </c>
      <c r="K13">
        <f>E13*D7/100</f>
        <v>1.711638479282801E-2</v>
      </c>
      <c r="L13">
        <f>E13*D8/100</f>
        <v>1.7048225132546363E-2</v>
      </c>
    </row>
    <row r="14" spans="1:12" x14ac:dyDescent="0.35">
      <c r="B14" t="s">
        <v>63</v>
      </c>
      <c r="C14" t="s">
        <v>77</v>
      </c>
      <c r="D14">
        <v>8.9052999999999993E-2</v>
      </c>
      <c r="E14">
        <f>D14*100/D15</f>
        <v>84.000377305098326</v>
      </c>
      <c r="G14">
        <f>E14*D3/100</f>
        <v>8.1082106267875875E-2</v>
      </c>
      <c r="H14">
        <f>E14*D4/100</f>
        <v>8.33618307389902E-2</v>
      </c>
      <c r="I14">
        <f>E14*D5/100</f>
        <v>8.5198890143320702E-2</v>
      </c>
      <c r="J14">
        <f>E14*D6/100</f>
        <v>8.7813019831357336E-2</v>
      </c>
      <c r="K14">
        <f>E14*D7/100</f>
        <v>8.986354291685604E-2</v>
      </c>
      <c r="L14">
        <f>E14*D8/100</f>
        <v>8.9505694654442317E-2</v>
      </c>
    </row>
    <row r="15" spans="1:12" x14ac:dyDescent="0.35">
      <c r="D15">
        <f>SUM(D13:D14)</f>
        <v>0.106015</v>
      </c>
    </row>
    <row r="16" spans="1:12" x14ac:dyDescent="0.35">
      <c r="B16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5C6-F45A-4EE7-AAD8-2600A3285568}">
  <dimension ref="A1:L33"/>
  <sheetViews>
    <sheetView workbookViewId="0">
      <selection activeCell="G15" sqref="G15"/>
    </sheetView>
  </sheetViews>
  <sheetFormatPr defaultRowHeight="14.5" x14ac:dyDescent="0.35"/>
  <cols>
    <col min="3" max="3" width="57.36328125" customWidth="1"/>
    <col min="7" max="7" width="9.54296875" customWidth="1"/>
    <col min="8" max="8" width="8.90625" bestFit="1" customWidth="1"/>
  </cols>
  <sheetData>
    <row r="1" spans="1:12" x14ac:dyDescent="0.35">
      <c r="A1" t="s">
        <v>143</v>
      </c>
    </row>
    <row r="2" spans="1:12" x14ac:dyDescent="0.35">
      <c r="D2" t="s">
        <v>73</v>
      </c>
      <c r="F2" t="s">
        <v>74</v>
      </c>
    </row>
    <row r="3" spans="1:12" x14ac:dyDescent="0.35">
      <c r="D3">
        <f>Sheet1!Y26</f>
        <v>0.18059291220864551</v>
      </c>
      <c r="E3" t="s">
        <v>31</v>
      </c>
      <c r="F3">
        <f>Sheet1!Z26</f>
        <v>0.27034504942151549</v>
      </c>
    </row>
    <row r="4" spans="1:12" x14ac:dyDescent="0.35">
      <c r="A4" s="9"/>
      <c r="B4" s="9"/>
      <c r="C4" s="9"/>
      <c r="D4">
        <f>Sheet1!Y27</f>
        <v>0.14817317854228898</v>
      </c>
      <c r="E4" t="s">
        <v>52</v>
      </c>
      <c r="F4">
        <f>Sheet1!Z27</f>
        <v>0.20272387696097496</v>
      </c>
    </row>
    <row r="5" spans="1:12" x14ac:dyDescent="0.35">
      <c r="A5" s="9"/>
      <c r="B5" s="9"/>
      <c r="C5" s="9"/>
      <c r="D5">
        <f>Sheet1!Y28</f>
        <v>0.18845669122503714</v>
      </c>
      <c r="E5" t="s">
        <v>53</v>
      </c>
      <c r="F5">
        <f>Sheet1!Z28</f>
        <v>0.27924793957846172</v>
      </c>
    </row>
    <row r="6" spans="1:12" x14ac:dyDescent="0.35">
      <c r="D6">
        <f>Sheet1!Y29</f>
        <v>0.15741214254440308</v>
      </c>
      <c r="E6" t="s">
        <v>57</v>
      </c>
      <c r="F6">
        <f>Sheet1!Z29</f>
        <v>0.2149823123240697</v>
      </c>
    </row>
    <row r="7" spans="1:12" x14ac:dyDescent="0.35">
      <c r="D7">
        <f>Sheet1!Y30</f>
        <v>0.14440203506196628</v>
      </c>
      <c r="E7" t="s">
        <v>58</v>
      </c>
      <c r="F7">
        <f>Sheet1!Z30</f>
        <v>0.17959829216281159</v>
      </c>
    </row>
    <row r="8" spans="1:12" x14ac:dyDescent="0.35">
      <c r="D8">
        <f>Sheet1!Y31</f>
        <v>0.12284873464803085</v>
      </c>
      <c r="E8" t="s">
        <v>59</v>
      </c>
      <c r="F8">
        <f>Sheet1!Z31</f>
        <v>0.11037965892827686</v>
      </c>
    </row>
    <row r="12" spans="1:12" x14ac:dyDescent="0.35">
      <c r="B12" s="9"/>
      <c r="C12" s="9"/>
      <c r="D12" s="10" t="s">
        <v>179</v>
      </c>
      <c r="G12" t="s">
        <v>31</v>
      </c>
      <c r="H12" t="s">
        <v>52</v>
      </c>
      <c r="I12" t="s">
        <v>53</v>
      </c>
      <c r="J12" t="s">
        <v>57</v>
      </c>
      <c r="K12" t="s">
        <v>58</v>
      </c>
      <c r="L12" t="s">
        <v>59</v>
      </c>
    </row>
    <row r="13" spans="1:12" x14ac:dyDescent="0.35">
      <c r="B13" s="9" t="s">
        <v>63</v>
      </c>
      <c r="C13" s="9" t="s">
        <v>65</v>
      </c>
      <c r="D13" s="10">
        <v>5.8909000000000003E-2</v>
      </c>
      <c r="E13">
        <f>D13*100/$D$16</f>
        <v>93.597926606285895</v>
      </c>
      <c r="G13">
        <f>$D$3*E13/100</f>
        <v>0.16903122142520235</v>
      </c>
      <c r="H13">
        <f>$D$4*E13/100</f>
        <v>0.1386870229022126</v>
      </c>
      <c r="I13">
        <f>$D$5*E13/100</f>
        <v>0.17639155553744509</v>
      </c>
      <c r="J13">
        <f>$D$6*E13/100</f>
        <v>0.14733450164809253</v>
      </c>
      <c r="K13">
        <f>$D$7*E13/100</f>
        <v>0.13515731079528243</v>
      </c>
      <c r="L13">
        <f>$D$8*E13/100</f>
        <v>0.11498386849261483</v>
      </c>
    </row>
    <row r="14" spans="1:12" x14ac:dyDescent="0.35">
      <c r="A14" s="8" t="s">
        <v>0</v>
      </c>
      <c r="B14" s="9" t="s">
        <v>63</v>
      </c>
      <c r="C14" s="9" t="s">
        <v>66</v>
      </c>
      <c r="D14" s="10">
        <v>3.7859999999999999E-3</v>
      </c>
      <c r="E14">
        <f>D14*100/$D$16</f>
        <v>6.0154093624301614</v>
      </c>
      <c r="G14">
        <f>$D$3*E14/100</f>
        <v>1.0863402948884144E-2</v>
      </c>
      <c r="H14">
        <f>$D$4*E14/100</f>
        <v>8.9132232546432107E-3</v>
      </c>
      <c r="I14">
        <f>$D$5*E14/100</f>
        <v>1.1336441448076984E-2</v>
      </c>
      <c r="J14">
        <f>$D$6*E14/100</f>
        <v>9.4689847602179352E-3</v>
      </c>
      <c r="K14">
        <f>$D$7*E14/100</f>
        <v>8.6863735366572038E-3</v>
      </c>
      <c r="L14">
        <f>$D$8*E14/100</f>
        <v>7.3898542856446333E-3</v>
      </c>
    </row>
    <row r="15" spans="1:12" x14ac:dyDescent="0.35">
      <c r="B15" s="9" t="s">
        <v>63</v>
      </c>
      <c r="C15" s="9" t="s">
        <v>67</v>
      </c>
      <c r="D15" s="10">
        <v>2.4336E-4</v>
      </c>
      <c r="E15">
        <f>D15*100/$D$16</f>
        <v>0.38666403128394194</v>
      </c>
      <c r="G15">
        <f>$D$3*E15/100</f>
        <v>6.9828783455901891E-4</v>
      </c>
      <c r="H15">
        <f>$D$4*E15/100</f>
        <v>5.7293238543316743E-4</v>
      </c>
      <c r="I15">
        <f>$D$5*E15/100</f>
        <v>7.2869423951505948E-4</v>
      </c>
      <c r="J15">
        <f>$D$6*E15/100</f>
        <v>6.0865613609261402E-4</v>
      </c>
      <c r="K15">
        <f>$D$7*E15/100</f>
        <v>5.5835073002665013E-4</v>
      </c>
      <c r="L15">
        <f>$D$8*E15/100</f>
        <v>4.7501186977138882E-4</v>
      </c>
    </row>
    <row r="16" spans="1:12" x14ac:dyDescent="0.35">
      <c r="D16" s="10">
        <f>D13+D14+D15</f>
        <v>6.2938359999999999E-2</v>
      </c>
      <c r="G16">
        <f t="shared" ref="G16:L16" si="0">SUM(G13:G15)</f>
        <v>0.18059291220864551</v>
      </c>
      <c r="H16">
        <f t="shared" si="0"/>
        <v>0.14817317854228898</v>
      </c>
      <c r="I16">
        <f t="shared" si="0"/>
        <v>0.18845669122503714</v>
      </c>
      <c r="J16">
        <f t="shared" si="0"/>
        <v>0.15741214254440308</v>
      </c>
      <c r="K16">
        <f t="shared" si="0"/>
        <v>0.14440203506196631</v>
      </c>
      <c r="L16">
        <f t="shared" si="0"/>
        <v>0.12284873464803085</v>
      </c>
    </row>
    <row r="17" spans="1:12" x14ac:dyDescent="0.35">
      <c r="E17" t="s">
        <v>72</v>
      </c>
      <c r="F17">
        <v>74</v>
      </c>
    </row>
    <row r="18" spans="1:12" x14ac:dyDescent="0.35">
      <c r="A18" s="8" t="s">
        <v>0</v>
      </c>
      <c r="B18" s="9"/>
      <c r="C18" s="9"/>
      <c r="D18" s="10"/>
      <c r="E18" t="s">
        <v>70</v>
      </c>
      <c r="F18" s="9">
        <v>20.8</v>
      </c>
      <c r="G18" s="9"/>
      <c r="H18" s="21"/>
    </row>
    <row r="19" spans="1:12" x14ac:dyDescent="0.35">
      <c r="B19" s="9"/>
      <c r="C19" s="9"/>
      <c r="D19" s="10"/>
      <c r="E19" s="9"/>
      <c r="F19" s="9"/>
      <c r="G19" s="9"/>
      <c r="H19" s="21"/>
    </row>
    <row r="20" spans="1:12" x14ac:dyDescent="0.35">
      <c r="B20" s="9"/>
      <c r="C20" s="9"/>
      <c r="D20" s="10"/>
    </row>
    <row r="21" spans="1:12" x14ac:dyDescent="0.35">
      <c r="B21" s="9" t="s">
        <v>63</v>
      </c>
      <c r="C21" s="9" t="s">
        <v>64</v>
      </c>
      <c r="D21" s="10">
        <v>3.5905999999999998E-5</v>
      </c>
      <c r="G21">
        <v>26</v>
      </c>
      <c r="H21">
        <v>19</v>
      </c>
      <c r="I21">
        <v>25</v>
      </c>
      <c r="J21">
        <v>19</v>
      </c>
      <c r="K21">
        <v>16</v>
      </c>
      <c r="L21">
        <v>11</v>
      </c>
    </row>
    <row r="22" spans="1:12" x14ac:dyDescent="0.35">
      <c r="B22" s="9" t="s">
        <v>63</v>
      </c>
      <c r="C22" s="22" t="s">
        <v>75</v>
      </c>
      <c r="G22">
        <v>39</v>
      </c>
      <c r="H22">
        <v>28</v>
      </c>
      <c r="I22">
        <v>38</v>
      </c>
      <c r="J22">
        <v>28</v>
      </c>
      <c r="K22">
        <v>23</v>
      </c>
      <c r="L22">
        <v>14</v>
      </c>
    </row>
    <row r="23" spans="1:12" x14ac:dyDescent="0.35">
      <c r="G23">
        <f t="shared" ref="G23:L23" si="1">SUM(G21:G22)</f>
        <v>65</v>
      </c>
      <c r="H23">
        <f t="shared" si="1"/>
        <v>47</v>
      </c>
      <c r="I23">
        <f t="shared" si="1"/>
        <v>63</v>
      </c>
      <c r="J23">
        <f t="shared" si="1"/>
        <v>47</v>
      </c>
      <c r="K23">
        <f t="shared" si="1"/>
        <v>39</v>
      </c>
      <c r="L23">
        <f t="shared" si="1"/>
        <v>25</v>
      </c>
    </row>
    <row r="24" spans="1:12" x14ac:dyDescent="0.35">
      <c r="F24" t="s">
        <v>45</v>
      </c>
      <c r="G24">
        <f t="shared" ref="G24:L24" si="2">G21*100/G23</f>
        <v>40</v>
      </c>
      <c r="H24">
        <f t="shared" si="2"/>
        <v>40.425531914893618</v>
      </c>
      <c r="I24">
        <f t="shared" si="2"/>
        <v>39.682539682539684</v>
      </c>
      <c r="J24">
        <f t="shared" si="2"/>
        <v>40.425531914893618</v>
      </c>
      <c r="K24">
        <f t="shared" si="2"/>
        <v>41.025641025641029</v>
      </c>
      <c r="L24">
        <f t="shared" si="2"/>
        <v>44</v>
      </c>
    </row>
    <row r="25" spans="1:12" x14ac:dyDescent="0.35">
      <c r="F25" t="s">
        <v>45</v>
      </c>
      <c r="G25">
        <f t="shared" ref="G25:L25" si="3">G22*100/G23</f>
        <v>60</v>
      </c>
      <c r="H25">
        <f t="shared" si="3"/>
        <v>59.574468085106382</v>
      </c>
      <c r="I25">
        <f t="shared" si="3"/>
        <v>60.317460317460316</v>
      </c>
      <c r="J25">
        <f t="shared" si="3"/>
        <v>59.574468085106382</v>
      </c>
      <c r="K25">
        <f t="shared" si="3"/>
        <v>58.974358974358971</v>
      </c>
      <c r="L25">
        <f t="shared" si="3"/>
        <v>56</v>
      </c>
    </row>
    <row r="26" spans="1:12" x14ac:dyDescent="0.35">
      <c r="F26" t="s">
        <v>85</v>
      </c>
      <c r="G26">
        <f>F3*G24/100</f>
        <v>0.10813801976860621</v>
      </c>
      <c r="H26">
        <f>F4*H24/100</f>
        <v>8.1952205579968601E-2</v>
      </c>
      <c r="I26">
        <f>F5*I24/100</f>
        <v>0.11081267443589753</v>
      </c>
      <c r="J26">
        <f>F6*J24/100</f>
        <v>8.6907743279943064E-2</v>
      </c>
      <c r="K26">
        <f>F7*K24/100</f>
        <v>7.3681350630897063E-2</v>
      </c>
      <c r="L26">
        <f>F8*L24/100</f>
        <v>4.8567049928441818E-2</v>
      </c>
    </row>
    <row r="27" spans="1:12" x14ac:dyDescent="0.35">
      <c r="F27" t="s">
        <v>86</v>
      </c>
      <c r="G27">
        <f>F3*G25/100</f>
        <v>0.16220702965290928</v>
      </c>
      <c r="H27">
        <f>F4*H25/100</f>
        <v>0.12077167138100636</v>
      </c>
      <c r="I27">
        <f>F5*I25/100</f>
        <v>0.16843526514256421</v>
      </c>
      <c r="J27">
        <f>F6*J25/100</f>
        <v>0.12807456904412662</v>
      </c>
      <c r="K27">
        <f>F7*K25/100</f>
        <v>0.10591694153191453</v>
      </c>
      <c r="L27">
        <f>F8*L25/100</f>
        <v>6.1812608999835046E-2</v>
      </c>
    </row>
    <row r="29" spans="1:12" x14ac:dyDescent="0.35">
      <c r="B29" s="8" t="s">
        <v>0</v>
      </c>
      <c r="C29" t="s">
        <v>65</v>
      </c>
      <c r="D29">
        <v>0.1807082690070928</v>
      </c>
    </row>
    <row r="30" spans="1:12" x14ac:dyDescent="0.35">
      <c r="C30" t="s">
        <v>66</v>
      </c>
      <c r="D30">
        <v>1.161387065577167E-2</v>
      </c>
    </row>
    <row r="31" spans="1:12" x14ac:dyDescent="0.35">
      <c r="C31" t="s">
        <v>67</v>
      </c>
      <c r="D31">
        <v>7.4652709001283516E-4</v>
      </c>
    </row>
    <row r="32" spans="1:12" x14ac:dyDescent="0.35">
      <c r="C32" t="s">
        <v>64</v>
      </c>
      <c r="D32">
        <v>0.11560843139790508</v>
      </c>
    </row>
    <row r="33" spans="3:4" x14ac:dyDescent="0.35">
      <c r="C33" t="s">
        <v>75</v>
      </c>
      <c r="D33">
        <v>0.17341264709685764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7B95-E83E-4988-8886-3D2ED0E3B9EC}">
  <dimension ref="A1:S31"/>
  <sheetViews>
    <sheetView topLeftCell="C1" workbookViewId="0">
      <selection activeCell="N2" sqref="N2"/>
    </sheetView>
  </sheetViews>
  <sheetFormatPr defaultRowHeight="14.5" x14ac:dyDescent="0.35"/>
  <sheetData>
    <row r="1" spans="1:19" x14ac:dyDescent="0.35">
      <c r="A1" t="s">
        <v>143</v>
      </c>
      <c r="N1" s="38">
        <v>0.9</v>
      </c>
    </row>
    <row r="2" spans="1:19" x14ac:dyDescent="0.35">
      <c r="G2" t="s">
        <v>181</v>
      </c>
      <c r="H2" t="s">
        <v>182</v>
      </c>
      <c r="I2" t="s">
        <v>183</v>
      </c>
      <c r="J2" t="s">
        <v>134</v>
      </c>
      <c r="K2" t="s">
        <v>13</v>
      </c>
      <c r="L2" t="s">
        <v>184</v>
      </c>
      <c r="N2" t="s">
        <v>181</v>
      </c>
      <c r="O2" t="s">
        <v>182</v>
      </c>
      <c r="P2" t="s">
        <v>183</v>
      </c>
      <c r="Q2" t="s">
        <v>134</v>
      </c>
      <c r="R2" t="s">
        <v>13</v>
      </c>
      <c r="S2" t="s">
        <v>184</v>
      </c>
    </row>
    <row r="3" spans="1:19" x14ac:dyDescent="0.35">
      <c r="D3" t="s">
        <v>31</v>
      </c>
      <c r="E3">
        <f>Sheet1!AH26</f>
        <v>6.4618224976922073E-2</v>
      </c>
      <c r="G3">
        <f>E3*$E$10</f>
        <v>3.9099281179632277E-3</v>
      </c>
      <c r="H3">
        <f>E3*$E$11</f>
        <v>2.9299327498644124E-3</v>
      </c>
      <c r="I3">
        <f>E3*$E$12</f>
        <v>1.0202484701210155E-2</v>
      </c>
      <c r="J3">
        <f>E3*$E$13</f>
        <v>1.8938386719271443E-2</v>
      </c>
      <c r="K3">
        <f>E3*$E$14</f>
        <v>1.5800921647898494E-2</v>
      </c>
      <c r="L3">
        <f>E3*$E$15</f>
        <v>1.2836571040714345E-2</v>
      </c>
      <c r="N3">
        <f>G3*$N$1</f>
        <v>3.5189353061669051E-3</v>
      </c>
      <c r="O3">
        <f t="shared" ref="O3:S3" si="0">H3*$N$1</f>
        <v>2.6369394748779712E-3</v>
      </c>
      <c r="P3">
        <f t="shared" si="0"/>
        <v>9.1822362310891407E-3</v>
      </c>
      <c r="Q3">
        <f t="shared" si="0"/>
        <v>1.7044548047344298E-2</v>
      </c>
      <c r="R3">
        <f t="shared" si="0"/>
        <v>1.4220829483108646E-2</v>
      </c>
      <c r="S3">
        <f t="shared" si="0"/>
        <v>1.1552913936642911E-2</v>
      </c>
    </row>
    <row r="4" spans="1:19" x14ac:dyDescent="0.35">
      <c r="D4" t="s">
        <v>52</v>
      </c>
      <c r="E4">
        <f>Sheet1!AH27</f>
        <v>5.7159210168569036E-2</v>
      </c>
      <c r="G4">
        <f t="shared" ref="G4:G8" si="1">E4*$E$10</f>
        <v>3.4585970617186557E-3</v>
      </c>
      <c r="H4">
        <f t="shared" ref="H4:H8" si="2">E4*$E$11</f>
        <v>2.5917245775334279E-3</v>
      </c>
      <c r="I4">
        <f t="shared" ref="I4:I8" si="3">E4*$E$12</f>
        <v>9.0247908772850861E-3</v>
      </c>
      <c r="J4">
        <f t="shared" ref="J4:J8" si="4">E4*$E$13</f>
        <v>1.6752289731373479E-2</v>
      </c>
      <c r="K4">
        <f t="shared" ref="K4:K8" si="5">E4*$E$14</f>
        <v>1.3976988715673979E-2</v>
      </c>
      <c r="L4">
        <f t="shared" ref="L4:L8" si="6">E4*$E$15</f>
        <v>1.1354819204984412E-2</v>
      </c>
      <c r="N4">
        <f t="shared" ref="N4:N8" si="7">G4*$N$1</f>
        <v>3.1127373555467903E-3</v>
      </c>
      <c r="O4">
        <f t="shared" ref="O4:O8" si="8">H4*$N$1</f>
        <v>2.332552119780085E-3</v>
      </c>
      <c r="P4">
        <f t="shared" ref="P4:P8" si="9">I4*$N$1</f>
        <v>8.1223117895565782E-3</v>
      </c>
      <c r="Q4">
        <f t="shared" ref="Q4:Q8" si="10">J4*$N$1</f>
        <v>1.5077060758236132E-2</v>
      </c>
      <c r="R4">
        <f t="shared" ref="R4:R8" si="11">K4*$N$1</f>
        <v>1.2579289844106582E-2</v>
      </c>
      <c r="S4">
        <f t="shared" ref="S4:S8" si="12">L4*$N$1</f>
        <v>1.0219337284485971E-2</v>
      </c>
    </row>
    <row r="5" spans="1:19" x14ac:dyDescent="0.35">
      <c r="D5" t="s">
        <v>53</v>
      </c>
      <c r="E5">
        <f>Sheet1!AH28</f>
        <v>5.7975947441538604E-2</v>
      </c>
      <c r="G5">
        <f t="shared" si="1"/>
        <v>3.5080163088383781E-3</v>
      </c>
      <c r="H5">
        <f t="shared" si="2"/>
        <v>2.6287572457158663E-3</v>
      </c>
      <c r="I5">
        <f t="shared" si="3"/>
        <v>9.1537444277014907E-3</v>
      </c>
      <c r="J5">
        <f t="shared" si="4"/>
        <v>1.6991660068906969E-2</v>
      </c>
      <c r="K5">
        <f t="shared" si="5"/>
        <v>1.4176703295604323E-2</v>
      </c>
      <c r="L5">
        <f t="shared" si="6"/>
        <v>1.1517066094771581E-2</v>
      </c>
      <c r="N5">
        <f t="shared" si="7"/>
        <v>3.1572146779545404E-3</v>
      </c>
      <c r="O5">
        <f t="shared" si="8"/>
        <v>2.3658815211442799E-3</v>
      </c>
      <c r="P5">
        <f t="shared" si="9"/>
        <v>8.2383699849313419E-3</v>
      </c>
      <c r="Q5">
        <f t="shared" si="10"/>
        <v>1.5292494062016273E-2</v>
      </c>
      <c r="R5">
        <f t="shared" si="11"/>
        <v>1.2759032966043891E-2</v>
      </c>
      <c r="S5">
        <f t="shared" si="12"/>
        <v>1.0365359485294422E-2</v>
      </c>
    </row>
    <row r="6" spans="1:19" x14ac:dyDescent="0.35">
      <c r="D6" t="s">
        <v>57</v>
      </c>
      <c r="E6">
        <f>Sheet1!AH29</f>
        <v>4.8280549936140928E-2</v>
      </c>
      <c r="G6">
        <f t="shared" si="1"/>
        <v>2.9213659120699187E-3</v>
      </c>
      <c r="H6">
        <f t="shared" si="2"/>
        <v>2.1891465525381492E-3</v>
      </c>
      <c r="I6">
        <f t="shared" si="3"/>
        <v>7.6229511452134855E-3</v>
      </c>
      <c r="J6">
        <f t="shared" si="4"/>
        <v>1.4150121363381438E-2</v>
      </c>
      <c r="K6">
        <f t="shared" si="5"/>
        <v>1.1805913686593365E-2</v>
      </c>
      <c r="L6">
        <f t="shared" si="6"/>
        <v>9.5910512763445772E-3</v>
      </c>
      <c r="N6">
        <f t="shared" si="7"/>
        <v>2.6292293208629268E-3</v>
      </c>
      <c r="O6">
        <f t="shared" si="8"/>
        <v>1.9702318972843343E-3</v>
      </c>
      <c r="P6">
        <f t="shared" si="9"/>
        <v>6.8606560306921369E-3</v>
      </c>
      <c r="Q6">
        <f t="shared" si="10"/>
        <v>1.2735109227043294E-2</v>
      </c>
      <c r="R6">
        <f t="shared" si="11"/>
        <v>1.0625322317934029E-2</v>
      </c>
      <c r="S6">
        <f t="shared" si="12"/>
        <v>8.6319461487101203E-3</v>
      </c>
    </row>
    <row r="7" spans="1:19" x14ac:dyDescent="0.35">
      <c r="D7" t="s">
        <v>58</v>
      </c>
      <c r="E7">
        <f>Sheet1!AH30</f>
        <v>4.2467044960005869E-2</v>
      </c>
      <c r="G7">
        <f t="shared" si="1"/>
        <v>2.5696015827614675E-3</v>
      </c>
      <c r="H7">
        <f t="shared" si="2"/>
        <v>1.9255494229797139E-3</v>
      </c>
      <c r="I7">
        <f t="shared" si="3"/>
        <v>6.7050646572975768E-3</v>
      </c>
      <c r="J7">
        <f t="shared" si="4"/>
        <v>1.244629236665837E-2</v>
      </c>
      <c r="K7">
        <f t="shared" si="5"/>
        <v>1.0384352870579233E-2</v>
      </c>
      <c r="L7">
        <f t="shared" si="6"/>
        <v>8.4361840597295124E-3</v>
      </c>
      <c r="N7">
        <f t="shared" si="7"/>
        <v>2.3126414244853209E-3</v>
      </c>
      <c r="O7">
        <f t="shared" si="8"/>
        <v>1.7329944806817425E-3</v>
      </c>
      <c r="P7">
        <f t="shared" si="9"/>
        <v>6.0345581915678195E-3</v>
      </c>
      <c r="Q7">
        <f t="shared" si="10"/>
        <v>1.1201663129992533E-2</v>
      </c>
      <c r="R7">
        <f t="shared" si="11"/>
        <v>9.3459175835213099E-3</v>
      </c>
      <c r="S7">
        <f t="shared" si="12"/>
        <v>7.5925656537565609E-3</v>
      </c>
    </row>
    <row r="8" spans="1:19" x14ac:dyDescent="0.35">
      <c r="D8" t="s">
        <v>59</v>
      </c>
      <c r="E8">
        <f>Sheet1!AH31</f>
        <v>4.0164557663482224E-2</v>
      </c>
      <c r="G8">
        <f t="shared" si="1"/>
        <v>2.4302823763743199E-3</v>
      </c>
      <c r="H8">
        <f t="shared" si="2"/>
        <v>1.8211495738869737E-3</v>
      </c>
      <c r="I8">
        <f t="shared" si="3"/>
        <v>6.341528032360837E-3</v>
      </c>
      <c r="J8">
        <f t="shared" si="4"/>
        <v>1.177147663389338E-2</v>
      </c>
      <c r="K8">
        <f t="shared" si="5"/>
        <v>9.8213318129651457E-3</v>
      </c>
      <c r="L8">
        <f t="shared" si="6"/>
        <v>7.9787892340015716E-3</v>
      </c>
      <c r="N8">
        <f t="shared" si="7"/>
        <v>2.1872541387368879E-3</v>
      </c>
      <c r="O8">
        <f t="shared" si="8"/>
        <v>1.6390346164982764E-3</v>
      </c>
      <c r="P8">
        <f t="shared" si="9"/>
        <v>5.7073752291247537E-3</v>
      </c>
      <c r="Q8">
        <f t="shared" si="10"/>
        <v>1.0594328970504042E-2</v>
      </c>
      <c r="R8">
        <f t="shared" si="11"/>
        <v>8.8391986316686318E-3</v>
      </c>
      <c r="S8">
        <f t="shared" si="12"/>
        <v>7.1809103106014148E-3</v>
      </c>
    </row>
    <row r="10" spans="1:19" x14ac:dyDescent="0.35">
      <c r="C10" t="s">
        <v>181</v>
      </c>
      <c r="D10">
        <v>1.7984376445437801E-3</v>
      </c>
      <c r="E10">
        <f>D10/$D$16</f>
        <v>6.050813248676562E-2</v>
      </c>
    </row>
    <row r="11" spans="1:19" x14ac:dyDescent="0.35">
      <c r="C11" t="s">
        <v>182</v>
      </c>
      <c r="D11">
        <v>1.3476721807568E-3</v>
      </c>
      <c r="E11">
        <f t="shared" ref="E11:E15" si="13">D11/$D$16</f>
        <v>4.5342204167799667E-2</v>
      </c>
    </row>
    <row r="12" spans="1:19" x14ac:dyDescent="0.35">
      <c r="C12" t="s">
        <v>183</v>
      </c>
      <c r="D12">
        <v>4.69280559666568E-3</v>
      </c>
      <c r="E12">
        <f t="shared" si="13"/>
        <v>0.15788865610056449</v>
      </c>
    </row>
    <row r="13" spans="1:19" x14ac:dyDescent="0.35">
      <c r="C13" t="s">
        <v>134</v>
      </c>
      <c r="D13">
        <v>8.7110316546198108E-3</v>
      </c>
      <c r="E13">
        <f t="shared" si="13"/>
        <v>0.29308119692292922</v>
      </c>
    </row>
    <row r="14" spans="1:19" x14ac:dyDescent="0.35">
      <c r="C14" t="s">
        <v>13</v>
      </c>
      <c r="D14">
        <v>7.26790146844706E-3</v>
      </c>
      <c r="E14">
        <f t="shared" si="13"/>
        <v>0.2445273241959475</v>
      </c>
    </row>
    <row r="15" spans="1:19" x14ac:dyDescent="0.35">
      <c r="C15" t="s">
        <v>184</v>
      </c>
      <c r="D15">
        <v>5.9043982114195797E-3</v>
      </c>
      <c r="E15">
        <f t="shared" si="13"/>
        <v>0.19865248612599359</v>
      </c>
    </row>
    <row r="16" spans="1:19" x14ac:dyDescent="0.35">
      <c r="D16">
        <f>SUM(D10:D15)</f>
        <v>2.9722246756452707E-2</v>
      </c>
    </row>
    <row r="18" spans="1:7" x14ac:dyDescent="0.35">
      <c r="A18" t="s">
        <v>148</v>
      </c>
    </row>
    <row r="19" spans="1:7" x14ac:dyDescent="0.35">
      <c r="A19" t="s">
        <v>149</v>
      </c>
    </row>
    <row r="20" spans="1:7" x14ac:dyDescent="0.35">
      <c r="A20" t="s">
        <v>150</v>
      </c>
    </row>
    <row r="22" spans="1:7" x14ac:dyDescent="0.35">
      <c r="B22" t="s">
        <v>151</v>
      </c>
      <c r="C22" t="s">
        <v>152</v>
      </c>
      <c r="D22" t="s">
        <v>153</v>
      </c>
      <c r="E22" t="s">
        <v>155</v>
      </c>
      <c r="F22" t="s">
        <v>155</v>
      </c>
    </row>
    <row r="23" spans="1:7" x14ac:dyDescent="0.35">
      <c r="A23">
        <v>1990</v>
      </c>
      <c r="B23">
        <v>24026</v>
      </c>
      <c r="C23">
        <v>-187603</v>
      </c>
      <c r="D23" t="s">
        <v>154</v>
      </c>
      <c r="E23">
        <f t="shared" ref="E23:E27" si="14">B23*0.00027777777777778</f>
        <v>6.6738888888889427</v>
      </c>
      <c r="F23">
        <f t="shared" ref="F23:F27" si="15">C23*0.00027777777777778</f>
        <v>-52.111944444444859</v>
      </c>
    </row>
    <row r="24" spans="1:7" x14ac:dyDescent="0.35">
      <c r="A24">
        <v>1995</v>
      </c>
      <c r="B24">
        <v>10295</v>
      </c>
      <c r="C24">
        <v>-261723</v>
      </c>
      <c r="D24" t="s">
        <v>154</v>
      </c>
      <c r="E24">
        <f t="shared" si="14"/>
        <v>2.8597222222222451</v>
      </c>
      <c r="F24">
        <f t="shared" si="15"/>
        <v>-72.700833333333918</v>
      </c>
    </row>
    <row r="25" spans="1:7" x14ac:dyDescent="0.35">
      <c r="A25">
        <v>2000</v>
      </c>
      <c r="B25">
        <v>13302</v>
      </c>
      <c r="C25">
        <v>-263426</v>
      </c>
      <c r="D25" t="s">
        <v>154</v>
      </c>
      <c r="E25">
        <f t="shared" si="14"/>
        <v>3.6950000000000296</v>
      </c>
      <c r="F25">
        <f t="shared" si="15"/>
        <v>-73.173888888889479</v>
      </c>
    </row>
    <row r="26" spans="1:7" x14ac:dyDescent="0.35">
      <c r="A26">
        <v>2005</v>
      </c>
      <c r="B26">
        <v>29023</v>
      </c>
      <c r="C26">
        <v>-246203</v>
      </c>
      <c r="D26" t="s">
        <v>154</v>
      </c>
      <c r="E26">
        <f t="shared" si="14"/>
        <v>8.0619444444445083</v>
      </c>
      <c r="F26">
        <f t="shared" si="15"/>
        <v>-68.389722222222773</v>
      </c>
    </row>
    <row r="27" spans="1:7" x14ac:dyDescent="0.35">
      <c r="A27">
        <v>2010</v>
      </c>
      <c r="B27">
        <v>70110</v>
      </c>
      <c r="C27">
        <v>-180676</v>
      </c>
      <c r="D27" t="s">
        <v>154</v>
      </c>
      <c r="E27">
        <f t="shared" si="14"/>
        <v>19.475000000000154</v>
      </c>
      <c r="F27">
        <f t="shared" si="15"/>
        <v>-50.18777777777818</v>
      </c>
    </row>
    <row r="28" spans="1:7" x14ac:dyDescent="0.35">
      <c r="A28">
        <v>2015</v>
      </c>
      <c r="B28">
        <v>35859</v>
      </c>
      <c r="C28">
        <v>-266486</v>
      </c>
      <c r="D28" t="s">
        <v>154</v>
      </c>
      <c r="E28">
        <f t="shared" ref="E28:F31" si="16">B28*0.00027777777777778</f>
        <v>9.9608333333334134</v>
      </c>
      <c r="F28">
        <f t="shared" si="16"/>
        <v>-74.023888888889488</v>
      </c>
    </row>
    <row r="29" spans="1:7" x14ac:dyDescent="0.35">
      <c r="A29">
        <v>2019</v>
      </c>
      <c r="B29">
        <v>56274</v>
      </c>
      <c r="C29">
        <v>-263875</v>
      </c>
      <c r="D29" t="s">
        <v>154</v>
      </c>
      <c r="E29">
        <f t="shared" si="16"/>
        <v>15.631666666666792</v>
      </c>
      <c r="F29">
        <f t="shared" si="16"/>
        <v>-73.298611111111697</v>
      </c>
      <c r="G29" t="s">
        <v>156</v>
      </c>
    </row>
    <row r="30" spans="1:7" x14ac:dyDescent="0.35">
      <c r="A30">
        <v>2020</v>
      </c>
      <c r="B30">
        <v>70329</v>
      </c>
      <c r="C30">
        <v>-232471</v>
      </c>
      <c r="D30" t="s">
        <v>154</v>
      </c>
      <c r="E30">
        <f t="shared" si="16"/>
        <v>19.535833333333489</v>
      </c>
      <c r="F30">
        <f t="shared" si="16"/>
        <v>-64.575277777778297</v>
      </c>
    </row>
    <row r="31" spans="1:7" x14ac:dyDescent="0.35">
      <c r="A31">
        <v>2022</v>
      </c>
      <c r="B31">
        <v>188815</v>
      </c>
      <c r="C31">
        <v>-134401</v>
      </c>
      <c r="D31" t="s">
        <v>154</v>
      </c>
      <c r="E31">
        <f t="shared" si="16"/>
        <v>52.448611111111532</v>
      </c>
      <c r="F31">
        <f t="shared" si="16"/>
        <v>-37.333611111111409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Sheet1</vt:lpstr>
      <vt:lpstr>Nuclear</vt:lpstr>
      <vt:lpstr>Solar</vt:lpstr>
      <vt:lpstr>Biogas</vt:lpstr>
      <vt:lpstr>hydro</vt:lpstr>
      <vt:lpstr>Wind</vt:lpstr>
      <vt:lpstr>imports</vt:lpstr>
    </vt:vector>
  </TitlesOfParts>
  <Company>Mines Paristech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STEINBACH</dc:creator>
  <cp:lastModifiedBy>Juliana STEINBACH</cp:lastModifiedBy>
  <dcterms:created xsi:type="dcterms:W3CDTF">2023-10-30T11:02:07Z</dcterms:created>
  <dcterms:modified xsi:type="dcterms:W3CDTF">2024-03-28T08:54:27Z</dcterms:modified>
</cp:coreProperties>
</file>